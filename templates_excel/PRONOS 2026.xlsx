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0" documentId="8_{76D588F0-1FA4-4FBC-8485-9AA1F98439BE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RO_27_06" sheetId="1" r:id="rId1"/>
    <sheet name="CLA_27_06" sheetId="3" r:id="rId2"/>
    <sheet name="PRO_02_07" sheetId="4" r:id="rId3"/>
    <sheet name="ANUAL 2026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7" i="3" l="1"/>
  <c r="R37" i="3" s="1"/>
  <c r="T37" i="3" s="1"/>
  <c r="P34" i="3"/>
  <c r="R34" i="3" s="1"/>
  <c r="T34" i="3" s="1"/>
  <c r="P31" i="3"/>
  <c r="R31" i="3" s="1"/>
  <c r="T31" i="3" s="1"/>
  <c r="P28" i="3"/>
  <c r="R28" i="3" s="1"/>
  <c r="T28" i="3" s="1"/>
  <c r="P25" i="3"/>
  <c r="R25" i="3" s="1"/>
  <c r="T25" i="3" s="1"/>
  <c r="P22" i="3"/>
  <c r="R22" i="3" s="1"/>
  <c r="T22" i="3" s="1"/>
  <c r="P19" i="3"/>
  <c r="R19" i="3" s="1"/>
  <c r="T19" i="3" s="1"/>
  <c r="P16" i="3"/>
  <c r="R16" i="3" s="1"/>
  <c r="T16" i="3" s="1"/>
</calcChain>
</file>

<file path=xl/sharedStrings.xml><?xml version="1.0" encoding="utf-8"?>
<sst xmlns="http://schemas.openxmlformats.org/spreadsheetml/2006/main" count="355" uniqueCount="86">
  <si>
    <t xml:space="preserve">PRONÓSTICOS  ESPECIALISTAS </t>
  </si>
  <si>
    <t>ESPECIALISTAS</t>
  </si>
  <si>
    <t>1ª CARRERA</t>
  </si>
  <si>
    <t>2ª CARRERA</t>
  </si>
  <si>
    <t>3ª CARRERA</t>
  </si>
  <si>
    <t>4ª CARRERA</t>
  </si>
  <si>
    <t>5ª CARRERA</t>
  </si>
  <si>
    <t>6ª CARRERA</t>
  </si>
  <si>
    <t>1º</t>
  </si>
  <si>
    <t>EMILIO VILLAVERDE</t>
  </si>
  <si>
    <t>DRAGON FORCE (1)</t>
  </si>
  <si>
    <t>LEYHAIMUR (1)</t>
  </si>
  <si>
    <t>BASCO BEARNAIS (1)</t>
  </si>
  <si>
    <t>PONCE DE LEON (7)</t>
  </si>
  <si>
    <t>KILDARE LEGEND (5)</t>
  </si>
  <si>
    <t>KOKUSHOKU (4)</t>
  </si>
  <si>
    <t>4</t>
  </si>
  <si>
    <t>6</t>
  </si>
  <si>
    <t>3</t>
  </si>
  <si>
    <t>9</t>
  </si>
  <si>
    <t>5</t>
  </si>
  <si>
    <t>2º</t>
  </si>
  <si>
    <t>ANDER GALDONA</t>
  </si>
  <si>
    <t>BELISA BAY (3)</t>
  </si>
  <si>
    <t>AFRODITA (4)</t>
  </si>
  <si>
    <t>YUKATA ROSA (6)</t>
  </si>
  <si>
    <t>COETZEE (3)</t>
  </si>
  <si>
    <t>SANLAK (2)</t>
  </si>
  <si>
    <t>1</t>
  </si>
  <si>
    <t>2</t>
  </si>
  <si>
    <t>10</t>
  </si>
  <si>
    <t>3º</t>
  </si>
  <si>
    <t>PEDRO MERCADO</t>
  </si>
  <si>
    <t>VILLA DE LEYVA (3)</t>
  </si>
  <si>
    <t>CACCIA DI DIANA (3)</t>
  </si>
  <si>
    <t>SIRJAN (9)</t>
  </si>
  <si>
    <t>YEYE (3)</t>
  </si>
  <si>
    <t>8</t>
  </si>
  <si>
    <t>ESTEBAN ROMERA</t>
  </si>
  <si>
    <t>JAVIER FERNANDEZ-CUESTA</t>
  </si>
  <si>
    <t>7</t>
  </si>
  <si>
    <t>JOSÉ SOTO</t>
  </si>
  <si>
    <t>JOSE MANUEL FERNÁNDEZ</t>
  </si>
  <si>
    <t>ELCANO (2)</t>
  </si>
  <si>
    <t>YA TE VALE (5)</t>
  </si>
  <si>
    <t>HIPOTOUR</t>
  </si>
  <si>
    <t>3-1-2</t>
  </si>
  <si>
    <t>1-3-6</t>
  </si>
  <si>
    <t>4-1-3</t>
  </si>
  <si>
    <t>7-6-3</t>
  </si>
  <si>
    <t>9-5-3</t>
  </si>
  <si>
    <t>2-3-4</t>
  </si>
  <si>
    <t>PUNTOS</t>
  </si>
  <si>
    <t>BONUS</t>
  </si>
  <si>
    <t>TOTAL</t>
  </si>
  <si>
    <t>ACUMULADO</t>
  </si>
  <si>
    <t xml:space="preserve">TOTAL </t>
  </si>
  <si>
    <t>Nº PARTICIPANTES</t>
  </si>
  <si>
    <t>TRÍO GANADOR</t>
  </si>
  <si>
    <t>2-6-1</t>
  </si>
  <si>
    <t>1-6-4</t>
  </si>
  <si>
    <t>8-4-9</t>
  </si>
  <si>
    <t>3-9-5</t>
  </si>
  <si>
    <t>6-5-4</t>
  </si>
  <si>
    <t xml:space="preserve"> </t>
  </si>
  <si>
    <r>
      <rPr>
        <b/>
        <sz val="14"/>
        <color rgb="FF000000"/>
        <rFont val="Calibri"/>
      </rPr>
      <t xml:space="preserve">RÉCORD:  </t>
    </r>
    <r>
      <rPr>
        <b/>
        <sz val="14"/>
        <color rgb="FFFF0000"/>
        <rFont val="Calibri"/>
      </rPr>
      <t>273</t>
    </r>
    <r>
      <rPr>
        <b/>
        <sz val="14"/>
        <color rgb="FF000000"/>
        <rFont val="Calibri"/>
      </rPr>
      <t xml:space="preserve"> pts</t>
    </r>
  </si>
  <si>
    <t>SKY HAWK (2)</t>
  </si>
  <si>
    <t>EMBAJADORA (5)</t>
  </si>
  <si>
    <t>FLAMING GLASS (1)</t>
  </si>
  <si>
    <t>SMOOTH TRANSITION (1)</t>
  </si>
  <si>
    <t>MYSTIFIED (2)</t>
  </si>
  <si>
    <t>DUKES OF HATHEER (1)</t>
  </si>
  <si>
    <t>CARBAYON (2)</t>
  </si>
  <si>
    <t>PASAPALABRA (4)</t>
  </si>
  <si>
    <t>ARISTOCRATA (1)</t>
  </si>
  <si>
    <t>CHEAPER (4)</t>
  </si>
  <si>
    <t>MIMIJOLIE (7)</t>
  </si>
  <si>
    <t>CHIQUITIN (2)</t>
  </si>
  <si>
    <t>MISSTIFLY (3)</t>
  </si>
  <si>
    <t>SUMMERCAKE (3)</t>
  </si>
  <si>
    <t>PINSAPO (9)</t>
  </si>
  <si>
    <t>SOUND OF FEEDOM (6)</t>
  </si>
  <si>
    <t>CATALLAXY (8)</t>
  </si>
  <si>
    <t>2-1-5</t>
  </si>
  <si>
    <t>4-1-5</t>
  </si>
  <si>
    <t>2-9-4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</si>
</sst>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24"/>
      <color rgb="FFFFFFFF"/>
      <name val="Corbel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8"/>
      <color rgb="FFFFFFFF"/>
      <name val="Corbel"/>
    </font>
    <font>
      <b/>
      <sz val="20"/>
      <color theme="0"/>
      <name val="Calibri"/>
      <family val="2"/>
    </font>
    <font>
      <b/>
      <sz val="17"/>
      <color rgb="FF000000"/>
      <name val="Calibri"/>
      <family val="2"/>
    </font>
    <font>
      <sz val="15"/>
      <color theme="1"/>
      <name val="Calibri"/>
      <family val="2"/>
    </font>
    <font>
      <sz val="15"/>
      <color rgb="FF000000"/>
      <name val="Calibri"/>
      <family val="2"/>
    </font>
    <font>
      <b/>
      <sz val="17"/>
      <color theme="1"/>
      <name val="Calibri"/>
      <family val="2"/>
    </font>
    <font>
      <b/>
      <sz val="13"/>
      <color rgb="FFFFFFFF"/>
      <name val="Corbel"/>
    </font>
    <font>
      <b/>
      <sz val="16"/>
      <color rgb="FFFFFFFF"/>
      <name val="Corbel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7"/>
      <color rgb="FFFF0000"/>
      <name val="Calibri"/>
      <family val="2"/>
    </font>
    <font>
      <sz val="12"/>
      <color rgb="FFFF0000"/>
      <name val="Calibri"/>
      <family val="2"/>
    </font>
    <font>
      <sz val="15"/>
      <color rgb="FFFF0000"/>
      <name val="Calibri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</font>
    <font>
      <b/>
      <sz val="14"/>
      <color rgb="FF000000"/>
      <name val="Calibri"/>
    </font>
    <font>
      <b/>
      <sz val="14"/>
      <color rgb="FFFF000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rgb="FF54813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rgb="FFC55A11"/>
      </patternFill>
    </fill>
    <fill>
      <patternFill patternType="solid">
        <fgColor theme="4" tint="0.79998168889431442"/>
        <bgColor rgb="FFE2EFD9"/>
      </patternFill>
    </fill>
    <fill>
      <patternFill patternType="solid">
        <fgColor theme="0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4" fillId="4" borderId="0" xfId="0" applyFont="1" applyFill="1"/>
    <xf numFmtId="0" fontId="1" fillId="0" borderId="0" xfId="0" applyFont="1"/>
    <xf numFmtId="0" fontId="9" fillId="4" borderId="11" xfId="0" applyFont="1" applyFill="1" applyBorder="1" applyAlignment="1">
      <alignment horizontal="center" vertical="center"/>
    </xf>
    <xf numFmtId="49" fontId="9" fillId="4" borderId="11" xfId="0" applyNumberFormat="1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49" fontId="9" fillId="7" borderId="11" xfId="0" applyNumberFormat="1" applyFont="1" applyFill="1" applyBorder="1" applyAlignment="1">
      <alignment horizontal="center" vertical="center"/>
    </xf>
    <xf numFmtId="49" fontId="9" fillId="4" borderId="11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7" fillId="4" borderId="0" xfId="0" applyFont="1" applyFill="1"/>
    <xf numFmtId="49" fontId="18" fillId="4" borderId="0" xfId="0" applyNumberFormat="1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0" fillId="2" borderId="0" xfId="0" applyFont="1" applyFill="1"/>
    <xf numFmtId="0" fontId="1" fillId="10" borderId="0" xfId="0" applyFont="1" applyFill="1"/>
    <xf numFmtId="0" fontId="9" fillId="12" borderId="11" xfId="0" applyFont="1" applyFill="1" applyBorder="1" applyAlignment="1">
      <alignment horizontal="center" vertical="center"/>
    </xf>
    <xf numFmtId="49" fontId="9" fillId="12" borderId="11" xfId="0" applyNumberFormat="1" applyFont="1" applyFill="1" applyBorder="1" applyAlignment="1">
      <alignment horizontal="center" vertical="center"/>
    </xf>
    <xf numFmtId="49" fontId="12" fillId="11" borderId="23" xfId="0" applyNumberFormat="1" applyFont="1" applyFill="1" applyBorder="1" applyAlignment="1">
      <alignment horizontal="center" vertical="center"/>
    </xf>
    <xf numFmtId="49" fontId="12" fillId="11" borderId="25" xfId="0" applyNumberFormat="1" applyFont="1" applyFill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/>
    </xf>
    <xf numFmtId="0" fontId="7" fillId="12" borderId="21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12" borderId="19" xfId="0" applyFont="1" applyFill="1" applyBorder="1" applyAlignment="1">
      <alignment horizontal="center" vertical="center"/>
    </xf>
    <xf numFmtId="0" fontId="7" fillId="12" borderId="20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28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wrapText="1"/>
    </xf>
    <xf numFmtId="0" fontId="6" fillId="5" borderId="13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wrapText="1"/>
    </xf>
    <xf numFmtId="0" fontId="6" fillId="5" borderId="9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49" fontId="12" fillId="8" borderId="25" xfId="0" applyNumberFormat="1" applyFont="1" applyFill="1" applyBorder="1" applyAlignment="1">
      <alignment horizontal="center" vertical="center"/>
    </xf>
    <xf numFmtId="49" fontId="12" fillId="8" borderId="23" xfId="0" applyNumberFormat="1" applyFont="1" applyFill="1" applyBorder="1" applyAlignment="1">
      <alignment horizontal="center" vertical="center"/>
    </xf>
    <xf numFmtId="0" fontId="14" fillId="7" borderId="56" xfId="0" applyFont="1" applyFill="1" applyBorder="1" applyAlignment="1">
      <alignment horizontal="center" vertical="center"/>
    </xf>
    <xf numFmtId="0" fontId="14" fillId="7" borderId="39" xfId="0" applyFont="1" applyFill="1" applyBorder="1" applyAlignment="1">
      <alignment horizontal="center" vertical="center"/>
    </xf>
    <xf numFmtId="0" fontId="14" fillId="7" borderId="48" xfId="0" applyFont="1" applyFill="1" applyBorder="1" applyAlignment="1">
      <alignment horizontal="center" vertical="center"/>
    </xf>
    <xf numFmtId="0" fontId="15" fillId="7" borderId="64" xfId="0" applyFont="1" applyFill="1" applyBorder="1" applyAlignment="1">
      <alignment horizontal="center" vertical="center"/>
    </xf>
    <xf numFmtId="0" fontId="15" fillId="7" borderId="40" xfId="0" applyFont="1" applyFill="1" applyBorder="1" applyAlignment="1">
      <alignment horizontal="center" vertical="center"/>
    </xf>
    <xf numFmtId="0" fontId="15" fillId="7" borderId="49" xfId="0" applyFont="1" applyFill="1" applyBorder="1" applyAlignment="1">
      <alignment horizontal="center" vertical="center"/>
    </xf>
    <xf numFmtId="0" fontId="15" fillId="7" borderId="50" xfId="0" applyFont="1" applyFill="1" applyBorder="1" applyAlignment="1">
      <alignment horizontal="center" vertical="center"/>
    </xf>
    <xf numFmtId="0" fontId="15" fillId="7" borderId="53" xfId="0" applyFont="1" applyFill="1" applyBorder="1" applyAlignment="1">
      <alignment horizontal="center" vertical="center"/>
    </xf>
    <xf numFmtId="0" fontId="15" fillId="7" borderId="67" xfId="0" applyFont="1" applyFill="1" applyBorder="1" applyAlignment="1">
      <alignment horizontal="center" vertical="center"/>
    </xf>
    <xf numFmtId="0" fontId="15" fillId="7" borderId="65" xfId="0" applyFont="1" applyFill="1" applyBorder="1" applyAlignment="1">
      <alignment horizontal="center" vertical="center"/>
    </xf>
    <xf numFmtId="0" fontId="15" fillId="7" borderId="34" xfId="0" applyFont="1" applyFill="1" applyBorder="1" applyAlignment="1">
      <alignment horizontal="center" vertical="center"/>
    </xf>
    <xf numFmtId="0" fontId="15" fillId="7" borderId="55" xfId="0" applyFont="1" applyFill="1" applyBorder="1" applyAlignment="1">
      <alignment horizontal="center" vertical="center"/>
    </xf>
    <xf numFmtId="0" fontId="15" fillId="7" borderId="66" xfId="0" applyFont="1" applyFill="1" applyBorder="1" applyAlignment="1">
      <alignment horizontal="center" vertical="center"/>
    </xf>
    <xf numFmtId="0" fontId="15" fillId="7" borderId="33" xfId="0" applyFont="1" applyFill="1" applyBorder="1" applyAlignment="1">
      <alignment horizontal="center" vertical="center"/>
    </xf>
    <xf numFmtId="0" fontId="15" fillId="7" borderId="45" xfId="0" applyFont="1" applyFill="1" applyBorder="1" applyAlignment="1">
      <alignment horizontal="center" vertical="center"/>
    </xf>
    <xf numFmtId="0" fontId="15" fillId="4" borderId="50" xfId="0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0" fontId="15" fillId="4" borderId="54" xfId="0" applyFont="1" applyFill="1" applyBorder="1" applyAlignment="1">
      <alignment horizontal="center" vertical="center"/>
    </xf>
    <xf numFmtId="0" fontId="15" fillId="4" borderId="51" xfId="0" applyFont="1" applyFill="1" applyBorder="1" applyAlignment="1">
      <alignment horizontal="center" vertical="center"/>
    </xf>
    <xf numFmtId="0" fontId="15" fillId="4" borderId="34" xfId="0" applyFont="1" applyFill="1" applyBorder="1" applyAlignment="1">
      <alignment horizontal="center" vertical="center"/>
    </xf>
    <xf numFmtId="0" fontId="15" fillId="4" borderId="62" xfId="0" applyFont="1" applyFill="1" applyBorder="1" applyAlignment="1">
      <alignment horizontal="center" vertical="center"/>
    </xf>
    <xf numFmtId="0" fontId="15" fillId="4" borderId="52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5" fillId="4" borderId="63" xfId="0" applyFont="1" applyFill="1" applyBorder="1" applyAlignment="1">
      <alignment horizontal="center" vertical="center"/>
    </xf>
    <xf numFmtId="0" fontId="15" fillId="7" borderId="52" xfId="0" applyFont="1" applyFill="1" applyBorder="1" applyAlignment="1">
      <alignment horizontal="center" vertical="center"/>
    </xf>
    <xf numFmtId="0" fontId="14" fillId="4" borderId="36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14" fillId="4" borderId="60" xfId="0" applyFont="1" applyFill="1" applyBorder="1" applyAlignment="1">
      <alignment horizontal="center" vertical="center"/>
    </xf>
    <xf numFmtId="0" fontId="15" fillId="4" borderId="37" xfId="0" applyFont="1" applyFill="1" applyBorder="1" applyAlignment="1">
      <alignment horizontal="center" vertical="center"/>
    </xf>
    <xf numFmtId="0" fontId="15" fillId="4" borderId="40" xfId="0" applyFont="1" applyFill="1" applyBorder="1" applyAlignment="1">
      <alignment horizontal="center" vertical="center"/>
    </xf>
    <xf numFmtId="0" fontId="15" fillId="4" borderId="61" xfId="0" applyFont="1" applyFill="1" applyBorder="1" applyAlignment="1">
      <alignment horizontal="center" vertical="center"/>
    </xf>
    <xf numFmtId="0" fontId="14" fillId="7" borderId="36" xfId="0" applyFont="1" applyFill="1" applyBorder="1" applyAlignment="1">
      <alignment horizontal="center" vertical="center"/>
    </xf>
    <xf numFmtId="0" fontId="14" fillId="7" borderId="60" xfId="0" applyFont="1" applyFill="1" applyBorder="1" applyAlignment="1">
      <alignment horizontal="center" vertical="center"/>
    </xf>
    <xf numFmtId="0" fontId="15" fillId="7" borderId="37" xfId="0" applyFont="1" applyFill="1" applyBorder="1" applyAlignment="1">
      <alignment horizontal="center" vertical="center"/>
    </xf>
    <xf numFmtId="0" fontId="15" fillId="7" borderId="61" xfId="0" applyFont="1" applyFill="1" applyBorder="1" applyAlignment="1">
      <alignment horizontal="center" vertical="center"/>
    </xf>
    <xf numFmtId="0" fontId="15" fillId="7" borderId="54" xfId="0" applyFont="1" applyFill="1" applyBorder="1" applyAlignment="1">
      <alignment horizontal="center" vertical="center"/>
    </xf>
    <xf numFmtId="0" fontId="15" fillId="7" borderId="51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/>
    </xf>
    <xf numFmtId="0" fontId="14" fillId="4" borderId="48" xfId="0" applyFont="1" applyFill="1" applyBorder="1" applyAlignment="1">
      <alignment horizontal="center" vertical="center"/>
    </xf>
    <xf numFmtId="0" fontId="15" fillId="4" borderId="57" xfId="0" applyFont="1" applyFill="1" applyBorder="1" applyAlignment="1">
      <alignment horizontal="center" vertical="center"/>
    </xf>
    <xf numFmtId="0" fontId="15" fillId="4" borderId="38" xfId="0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0" fontId="15" fillId="4" borderId="45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5" fillId="4" borderId="49" xfId="0" applyFont="1" applyFill="1" applyBorder="1" applyAlignment="1">
      <alignment horizontal="center" vertical="center"/>
    </xf>
    <xf numFmtId="0" fontId="15" fillId="4" borderId="55" xfId="0" applyFont="1" applyFill="1" applyBorder="1" applyAlignment="1">
      <alignment horizontal="center" vertical="center"/>
    </xf>
    <xf numFmtId="0" fontId="15" fillId="7" borderId="47" xfId="0" applyFont="1" applyFill="1" applyBorder="1" applyAlignment="1">
      <alignment horizontal="center" vertical="center"/>
    </xf>
    <xf numFmtId="0" fontId="15" fillId="7" borderId="38" xfId="0" applyFont="1" applyFill="1" applyBorder="1" applyAlignment="1">
      <alignment horizontal="center" vertical="center"/>
    </xf>
    <xf numFmtId="0" fontId="15" fillId="7" borderId="26" xfId="0" applyFont="1" applyFill="1" applyBorder="1" applyAlignment="1">
      <alignment horizontal="center" vertical="center"/>
    </xf>
    <xf numFmtId="0" fontId="15" fillId="7" borderId="27" xfId="0" applyFont="1" applyFill="1" applyBorder="1" applyAlignment="1">
      <alignment horizontal="center" vertical="center"/>
    </xf>
    <xf numFmtId="0" fontId="15" fillId="7" borderId="44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14" fillId="7" borderId="46" xfId="0" applyFont="1" applyFill="1" applyBorder="1" applyAlignment="1">
      <alignment horizontal="center" vertical="center"/>
    </xf>
    <xf numFmtId="0" fontId="14" fillId="4" borderId="42" xfId="0" applyFont="1" applyFill="1" applyBorder="1" applyAlignment="1">
      <alignment horizontal="center" vertical="center"/>
    </xf>
    <xf numFmtId="0" fontId="15" fillId="4" borderId="43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1" fillId="5" borderId="34" xfId="0" applyFont="1" applyFill="1" applyBorder="1" applyAlignment="1">
      <alignment horizontal="center" vertical="top"/>
    </xf>
    <xf numFmtId="0" fontId="11" fillId="5" borderId="6" xfId="0" applyFont="1" applyFill="1" applyBorder="1" applyAlignment="1">
      <alignment horizontal="center" vertical="center"/>
    </xf>
    <xf numFmtId="49" fontId="13" fillId="9" borderId="1" xfId="0" applyNumberFormat="1" applyFont="1" applyFill="1" applyBorder="1" applyAlignment="1">
      <alignment horizontal="center" vertical="center"/>
    </xf>
    <xf numFmtId="49" fontId="13" fillId="9" borderId="9" xfId="0" applyNumberFormat="1" applyFont="1" applyFill="1" applyBorder="1" applyAlignment="1">
      <alignment horizontal="center" vertical="center"/>
    </xf>
    <xf numFmtId="0" fontId="11" fillId="5" borderId="31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/>
    <xf numFmtId="0" fontId="3" fillId="6" borderId="3" xfId="0" applyFont="1" applyFill="1" applyBorder="1" applyAlignment="1"/>
    <xf numFmtId="0" fontId="3" fillId="6" borderId="4" xfId="0" applyFont="1" applyFill="1" applyBorder="1" applyAlignment="1"/>
    <xf numFmtId="0" fontId="3" fillId="6" borderId="1" xfId="0" applyFont="1" applyFill="1" applyBorder="1" applyAlignment="1"/>
    <xf numFmtId="0" fontId="3" fillId="6" borderId="0" xfId="0" applyFont="1" applyFill="1" applyAlignment="1"/>
    <xf numFmtId="0" fontId="3" fillId="6" borderId="6" xfId="0" applyFont="1" applyFill="1" applyBorder="1" applyAlignment="1"/>
    <xf numFmtId="0" fontId="3" fillId="6" borderId="7" xfId="0" applyFont="1" applyFill="1" applyBorder="1" applyAlignment="1"/>
    <xf numFmtId="0" fontId="3" fillId="6" borderId="8" xfId="0" applyFont="1" applyFill="1" applyBorder="1" applyAlignment="1"/>
    <xf numFmtId="0" fontId="3" fillId="6" borderId="9" xfId="0" applyFont="1" applyFill="1" applyBorder="1" applyAlignment="1"/>
    <xf numFmtId="0" fontId="3" fillId="4" borderId="11" xfId="0" applyFont="1" applyFill="1" applyBorder="1" applyAlignment="1"/>
    <xf numFmtId="0" fontId="3" fillId="6" borderId="12" xfId="0" applyFont="1" applyFill="1" applyBorder="1" applyAlignment="1"/>
    <xf numFmtId="0" fontId="3" fillId="7" borderId="11" xfId="0" applyFont="1" applyFill="1" applyBorder="1" applyAlignment="1"/>
    <xf numFmtId="0" fontId="3" fillId="6" borderId="24" xfId="0" applyFont="1" applyFill="1" applyBorder="1" applyAlignment="1"/>
    <xf numFmtId="0" fontId="3" fillId="6" borderId="33" xfId="0" applyFont="1" applyFill="1" applyBorder="1" applyAlignment="1"/>
    <xf numFmtId="0" fontId="3" fillId="6" borderId="17" xfId="0" applyFont="1" applyFill="1" applyBorder="1" applyAlignment="1"/>
    <xf numFmtId="0" fontId="3" fillId="6" borderId="34" xfId="0" applyFont="1" applyFill="1" applyBorder="1" applyAlignment="1"/>
    <xf numFmtId="0" fontId="3" fillId="6" borderId="27" xfId="0" applyFont="1" applyFill="1" applyBorder="1" applyAlignment="1"/>
    <xf numFmtId="0" fontId="3" fillId="7" borderId="4" xfId="0" applyFont="1" applyFill="1" applyBorder="1" applyAlignment="1"/>
    <xf numFmtId="1" fontId="3" fillId="7" borderId="4" xfId="0" applyNumberFormat="1" applyFont="1" applyFill="1" applyBorder="1" applyAlignment="1"/>
    <xf numFmtId="0" fontId="3" fillId="7" borderId="35" xfId="0" applyFont="1" applyFill="1" applyBorder="1" applyAlignment="1"/>
    <xf numFmtId="0" fontId="3" fillId="4" borderId="41" xfId="0" applyFont="1" applyFill="1" applyBorder="1" applyAlignment="1"/>
    <xf numFmtId="0" fontId="3" fillId="7" borderId="41" xfId="0" applyFont="1" applyFill="1" applyBorder="1" applyAlignment="1"/>
    <xf numFmtId="0" fontId="3" fillId="4" borderId="59" xfId="0" applyFont="1" applyFill="1" applyBorder="1" applyAlignment="1"/>
    <xf numFmtId="0" fontId="3" fillId="11" borderId="3" xfId="0" applyFont="1" applyFill="1" applyBorder="1" applyAlignment="1"/>
    <xf numFmtId="0" fontId="3" fillId="11" borderId="4" xfId="0" applyFont="1" applyFill="1" applyBorder="1" applyAlignment="1"/>
    <xf numFmtId="0" fontId="3" fillId="11" borderId="1" xfId="0" applyFont="1" applyFill="1" applyBorder="1" applyAlignment="1"/>
    <xf numFmtId="0" fontId="3" fillId="11" borderId="0" xfId="0" applyFont="1" applyFill="1" applyAlignment="1"/>
    <xf numFmtId="0" fontId="3" fillId="11" borderId="6" xfId="0" applyFont="1" applyFill="1" applyBorder="1" applyAlignment="1"/>
    <xf numFmtId="0" fontId="3" fillId="11" borderId="7" xfId="0" applyFont="1" applyFill="1" applyBorder="1" applyAlignment="1"/>
    <xf numFmtId="0" fontId="3" fillId="11" borderId="8" xfId="0" applyFont="1" applyFill="1" applyBorder="1" applyAlignment="1"/>
    <xf numFmtId="0" fontId="3" fillId="11" borderId="9" xfId="0" applyFont="1" applyFill="1" applyBorder="1" applyAlignment="1"/>
    <xf numFmtId="0" fontId="3" fillId="11" borderId="12" xfId="0" applyFont="1" applyFill="1" applyBorder="1" applyAlignment="1"/>
    <xf numFmtId="0" fontId="3" fillId="12" borderId="11" xfId="0" applyFont="1" applyFill="1" applyBorder="1" applyAlignment="1"/>
    <xf numFmtId="0" fontId="3" fillId="11" borderId="2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1628775</xdr:colOff>
      <xdr:row>4</xdr:row>
      <xdr:rowOff>28575</xdr:rowOff>
    </xdr:from>
    <xdr:to>
      <xdr:col>8</xdr:col>
      <xdr:colOff>19050</xdr:colOff>
      <xdr:row>11</xdr:row>
      <xdr:rowOff>104207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FAAD03-0EEC-43AD-A18F-CE1082EBFD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48550" y="828675"/>
          <a:ext cx="2466975" cy="1475807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1295400</xdr:colOff>
      <xdr:row>0</xdr:row>
      <xdr:rowOff>0</xdr:rowOff>
    </xdr:from>
    <xdr:to>
      <xdr:col>9</xdr:col>
      <xdr:colOff>1323975</xdr:colOff>
      <xdr:row>6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C4635D-5422-44A7-BD05-4EE2CE45A7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91650" y="0"/>
          <a:ext cx="2209800" cy="12954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4</xdr:row>
      <xdr:rowOff>47625</xdr:rowOff>
    </xdr:from>
    <xdr:to>
      <xdr:col>7</xdr:col>
      <xdr:colOff>714375</xdr:colOff>
      <xdr:row>11</xdr:row>
      <xdr:rowOff>123257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2F52D4-2D52-443E-B79F-78C939DBAE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05550" y="847725"/>
          <a:ext cx="2466975" cy="147580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249977111117893"/>
  </sheetPr>
  <dimension ref="A1:AD57"/>
  <sheetViews>
    <sheetView workbookViewId="0">
      <selection activeCell="D6" sqref="D6"/>
    </sheetView>
  </sheetViews>
  <sheetFormatPr defaultRowHeight="15"/>
  <cols>
    <col min="2" max="2" width="5.5703125" customWidth="1"/>
    <col min="3" max="3" width="40.140625" bestFit="1" customWidth="1"/>
    <col min="4" max="4" width="26.7109375" customWidth="1"/>
    <col min="5" max="5" width="5.7109375" customWidth="1"/>
    <col min="6" max="6" width="27.85546875" customWidth="1"/>
    <col min="7" max="7" width="5.7109375" customWidth="1"/>
    <col min="8" max="8" width="27.5703125" customWidth="1"/>
    <col min="9" max="9" width="5.85546875" customWidth="1"/>
    <col min="10" max="10" width="27.7109375" customWidth="1"/>
    <col min="11" max="11" width="5.7109375" customWidth="1"/>
    <col min="12" max="12" width="26.5703125" customWidth="1"/>
    <col min="13" max="13" width="5.85546875" customWidth="1"/>
    <col min="14" max="14" width="26" customWidth="1"/>
    <col min="15" max="15" width="5.42578125" customWidth="1"/>
  </cols>
  <sheetData>
    <row r="1" spans="1:21" ht="15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1"/>
      <c r="Q1" s="2"/>
      <c r="R1" s="1"/>
      <c r="S1" s="2"/>
      <c r="T1" s="1"/>
      <c r="U1" s="2"/>
    </row>
    <row r="2" spans="1:21" ht="15.7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1"/>
      <c r="Q2" s="2"/>
      <c r="R2" s="1"/>
      <c r="S2" s="2"/>
      <c r="T2" s="1"/>
      <c r="U2" s="2"/>
    </row>
    <row r="3" spans="1:21" ht="15.7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1"/>
      <c r="Q3" s="2"/>
      <c r="R3" s="1"/>
      <c r="S3" s="2"/>
      <c r="T3" s="1"/>
      <c r="U3" s="2"/>
    </row>
    <row r="4" spans="1:21" ht="15.7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1"/>
      <c r="Q4" s="2"/>
      <c r="R4" s="1"/>
      <c r="S4" s="2"/>
      <c r="T4" s="1"/>
      <c r="U4" s="2"/>
    </row>
    <row r="5" spans="1:21" ht="15.7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1"/>
      <c r="Q5" s="2"/>
      <c r="R5" s="1"/>
      <c r="S5" s="2"/>
      <c r="T5" s="1"/>
      <c r="U5" s="2"/>
    </row>
    <row r="6" spans="1:21" ht="15.7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1"/>
      <c r="Q6" s="2"/>
      <c r="R6" s="1"/>
      <c r="S6" s="2"/>
      <c r="T6" s="1"/>
      <c r="U6" s="2"/>
    </row>
    <row r="7" spans="1:21" ht="15.7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1"/>
      <c r="Q7" s="2"/>
      <c r="R7" s="1"/>
      <c r="S7" s="2"/>
      <c r="T7" s="1"/>
      <c r="U7" s="2"/>
    </row>
    <row r="8" spans="1:21" ht="15.7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3"/>
      <c r="P8" s="1"/>
      <c r="Q8" s="2"/>
      <c r="R8" s="1"/>
      <c r="S8" s="2"/>
      <c r="T8" s="1"/>
      <c r="U8" s="2"/>
    </row>
    <row r="9" spans="1:21" ht="15.7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  <c r="O9" s="3"/>
      <c r="P9" s="1"/>
      <c r="Q9" s="2"/>
      <c r="R9" s="1"/>
      <c r="S9" s="2"/>
      <c r="T9" s="1"/>
      <c r="U9" s="2"/>
    </row>
    <row r="10" spans="1:21" ht="15.7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  <c r="O10" s="3"/>
      <c r="P10" s="1"/>
      <c r="Q10" s="2"/>
      <c r="R10" s="1"/>
      <c r="S10" s="2"/>
      <c r="T10" s="1"/>
      <c r="U10" s="2"/>
    </row>
    <row r="11" spans="1:21" ht="15.7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1"/>
      <c r="Q11" s="2"/>
      <c r="R11" s="1"/>
      <c r="S11" s="2"/>
      <c r="T11" s="1"/>
      <c r="U11" s="2"/>
    </row>
    <row r="12" spans="1:21" ht="15.7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3"/>
      <c r="P12" s="1"/>
      <c r="Q12" s="2"/>
      <c r="R12" s="1"/>
      <c r="S12" s="2"/>
      <c r="T12" s="1"/>
      <c r="U12" s="2"/>
    </row>
    <row r="13" spans="1:21" ht="15.75">
      <c r="A13" s="1"/>
      <c r="B13" s="51" t="s">
        <v>0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1"/>
      <c r="Q13" s="2"/>
      <c r="R13" s="1"/>
      <c r="S13" s="2"/>
      <c r="T13" s="1"/>
      <c r="U13" s="2"/>
    </row>
    <row r="14" spans="1:21" ht="15.75">
      <c r="A14" s="1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1"/>
      <c r="Q14" s="2"/>
      <c r="R14" s="1"/>
      <c r="S14" s="2"/>
      <c r="T14" s="1"/>
      <c r="U14" s="2"/>
    </row>
    <row r="15" spans="1:21" ht="15.75">
      <c r="A15" s="1"/>
      <c r="B15" s="51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1"/>
      <c r="Q15" s="2"/>
      <c r="R15" s="1"/>
      <c r="S15" s="2"/>
      <c r="T15" s="1"/>
      <c r="U15" s="2"/>
    </row>
    <row r="16" spans="1:21" ht="15.75">
      <c r="A16" s="157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4"/>
      <c r="O16" s="4"/>
      <c r="P16" s="1"/>
      <c r="Q16" s="2"/>
      <c r="R16" s="1"/>
      <c r="S16" s="2"/>
      <c r="T16" s="1"/>
      <c r="U16" s="2"/>
    </row>
    <row r="17" spans="1:21" ht="15.75">
      <c r="A17" s="1"/>
      <c r="B17" s="53" t="s">
        <v>1</v>
      </c>
      <c r="C17" s="159"/>
      <c r="D17" s="53" t="s">
        <v>2</v>
      </c>
      <c r="E17" s="160"/>
      <c r="F17" s="54" t="s">
        <v>3</v>
      </c>
      <c r="G17" s="160"/>
      <c r="H17" s="54" t="s">
        <v>4</v>
      </c>
      <c r="I17" s="160"/>
      <c r="J17" s="54" t="s">
        <v>5</v>
      </c>
      <c r="K17" s="160"/>
      <c r="L17" s="54" t="s">
        <v>6</v>
      </c>
      <c r="M17" s="160"/>
      <c r="N17" s="54" t="s">
        <v>7</v>
      </c>
      <c r="O17" s="160"/>
      <c r="P17" s="1"/>
      <c r="Q17" s="2"/>
      <c r="R17" s="1"/>
      <c r="S17" s="2"/>
      <c r="T17" s="1"/>
      <c r="U17" s="2"/>
    </row>
    <row r="18" spans="1:21" ht="15.75">
      <c r="A18" s="5"/>
      <c r="B18" s="161"/>
      <c r="C18" s="162"/>
      <c r="D18" s="163"/>
      <c r="E18" s="164"/>
      <c r="F18" s="165"/>
      <c r="G18" s="164"/>
      <c r="H18" s="165"/>
      <c r="I18" s="164"/>
      <c r="J18" s="165"/>
      <c r="K18" s="164"/>
      <c r="L18" s="165"/>
      <c r="M18" s="164"/>
      <c r="N18" s="165"/>
      <c r="O18" s="164"/>
      <c r="P18" s="1"/>
      <c r="Q18" s="2"/>
      <c r="R18" s="1"/>
      <c r="S18" s="2"/>
      <c r="T18" s="1"/>
      <c r="U18" s="2"/>
    </row>
    <row r="19" spans="1:21" ht="19.5">
      <c r="A19" s="1"/>
      <c r="B19" s="64" t="s">
        <v>8</v>
      </c>
      <c r="C19" s="42" t="s">
        <v>9</v>
      </c>
      <c r="D19" s="26" t="s">
        <v>10</v>
      </c>
      <c r="E19" s="6">
        <v>1</v>
      </c>
      <c r="F19" s="32" t="s">
        <v>11</v>
      </c>
      <c r="G19" s="6">
        <v>1</v>
      </c>
      <c r="H19" s="55" t="s">
        <v>12</v>
      </c>
      <c r="I19" s="6">
        <v>1</v>
      </c>
      <c r="J19" s="32" t="s">
        <v>13</v>
      </c>
      <c r="K19" s="6">
        <v>7</v>
      </c>
      <c r="L19" s="55" t="s">
        <v>14</v>
      </c>
      <c r="M19" s="6">
        <v>5</v>
      </c>
      <c r="N19" s="55" t="s">
        <v>15</v>
      </c>
      <c r="O19" s="6">
        <v>4</v>
      </c>
      <c r="P19" s="1"/>
      <c r="Q19" s="2"/>
      <c r="R19" s="1"/>
      <c r="S19" s="2"/>
      <c r="T19" s="1"/>
      <c r="U19" s="2"/>
    </row>
    <row r="20" spans="1:21" ht="19.5">
      <c r="A20" s="1"/>
      <c r="B20" s="166"/>
      <c r="C20" s="42"/>
      <c r="D20" s="167"/>
      <c r="E20" s="6">
        <v>3</v>
      </c>
      <c r="F20" s="167"/>
      <c r="G20" s="6">
        <v>3</v>
      </c>
      <c r="H20" s="56"/>
      <c r="I20" s="6">
        <v>4</v>
      </c>
      <c r="J20" s="167"/>
      <c r="K20" s="6">
        <v>5</v>
      </c>
      <c r="L20" s="56"/>
      <c r="M20" s="6">
        <v>6</v>
      </c>
      <c r="N20" s="56"/>
      <c r="O20" s="6">
        <v>3</v>
      </c>
      <c r="P20" s="1"/>
      <c r="Q20" s="2"/>
      <c r="R20" s="1"/>
      <c r="S20" s="2"/>
      <c r="T20" s="1"/>
      <c r="U20" s="2"/>
    </row>
    <row r="21" spans="1:21" ht="19.5">
      <c r="A21" s="1"/>
      <c r="B21" s="168"/>
      <c r="C21" s="42"/>
      <c r="D21" s="167"/>
      <c r="E21" s="7" t="s">
        <v>16</v>
      </c>
      <c r="F21" s="167"/>
      <c r="G21" s="7" t="s">
        <v>17</v>
      </c>
      <c r="H21" s="56"/>
      <c r="I21" s="7" t="s">
        <v>18</v>
      </c>
      <c r="J21" s="167"/>
      <c r="K21" s="7" t="s">
        <v>18</v>
      </c>
      <c r="L21" s="56"/>
      <c r="M21" s="7" t="s">
        <v>19</v>
      </c>
      <c r="N21" s="56"/>
      <c r="O21" s="7" t="s">
        <v>20</v>
      </c>
      <c r="P21" s="1"/>
      <c r="Q21" s="2"/>
      <c r="R21" s="1"/>
      <c r="S21" s="2"/>
      <c r="T21" s="1"/>
      <c r="U21" s="2"/>
    </row>
    <row r="22" spans="1:21" ht="19.5">
      <c r="A22" s="1"/>
      <c r="B22" s="57" t="s">
        <v>21</v>
      </c>
      <c r="C22" s="58" t="s">
        <v>22</v>
      </c>
      <c r="D22" s="60" t="s">
        <v>23</v>
      </c>
      <c r="E22" s="8">
        <v>3</v>
      </c>
      <c r="F22" s="61" t="s">
        <v>11</v>
      </c>
      <c r="G22" s="8">
        <v>1</v>
      </c>
      <c r="H22" s="62" t="s">
        <v>24</v>
      </c>
      <c r="I22" s="8">
        <v>4</v>
      </c>
      <c r="J22" s="61" t="s">
        <v>25</v>
      </c>
      <c r="K22" s="8">
        <v>6</v>
      </c>
      <c r="L22" s="62" t="s">
        <v>26</v>
      </c>
      <c r="M22" s="8">
        <v>3</v>
      </c>
      <c r="N22" s="62" t="s">
        <v>27</v>
      </c>
      <c r="O22" s="8">
        <v>2</v>
      </c>
      <c r="P22" s="1"/>
      <c r="Q22" s="2"/>
      <c r="R22" s="1"/>
      <c r="S22" s="2"/>
      <c r="T22" s="1"/>
      <c r="U22" s="2"/>
    </row>
    <row r="23" spans="1:21" ht="19.5">
      <c r="A23" s="1"/>
      <c r="B23" s="166"/>
      <c r="C23" s="59"/>
      <c r="D23" s="169"/>
      <c r="E23" s="8">
        <v>2</v>
      </c>
      <c r="F23" s="169"/>
      <c r="G23" s="8">
        <v>6</v>
      </c>
      <c r="H23" s="63"/>
      <c r="I23" s="8">
        <v>1</v>
      </c>
      <c r="J23" s="169"/>
      <c r="K23" s="8">
        <v>5</v>
      </c>
      <c r="L23" s="63"/>
      <c r="M23" s="8">
        <v>7</v>
      </c>
      <c r="N23" s="63"/>
      <c r="O23" s="8">
        <v>4</v>
      </c>
      <c r="P23" s="1"/>
      <c r="Q23" s="2"/>
      <c r="R23" s="1"/>
      <c r="S23" s="2"/>
      <c r="T23" s="1"/>
      <c r="U23" s="2"/>
    </row>
    <row r="24" spans="1:21" ht="19.5">
      <c r="A24" s="1"/>
      <c r="B24" s="168"/>
      <c r="C24" s="59"/>
      <c r="D24" s="169"/>
      <c r="E24" s="9" t="s">
        <v>28</v>
      </c>
      <c r="F24" s="169"/>
      <c r="G24" s="9" t="s">
        <v>18</v>
      </c>
      <c r="H24" s="63"/>
      <c r="I24" s="9" t="s">
        <v>18</v>
      </c>
      <c r="J24" s="169"/>
      <c r="K24" s="9" t="s">
        <v>29</v>
      </c>
      <c r="L24" s="63"/>
      <c r="M24" s="9" t="s">
        <v>30</v>
      </c>
      <c r="N24" s="63"/>
      <c r="O24" s="9" t="s">
        <v>20</v>
      </c>
      <c r="P24" s="1"/>
      <c r="Q24" s="2"/>
      <c r="R24" s="1"/>
      <c r="S24" s="2"/>
      <c r="T24" s="1"/>
      <c r="U24" s="2"/>
    </row>
    <row r="25" spans="1:21" ht="19.5">
      <c r="A25" s="1"/>
      <c r="B25" s="57" t="s">
        <v>31</v>
      </c>
      <c r="C25" s="65" t="s">
        <v>32</v>
      </c>
      <c r="D25" s="32" t="s">
        <v>23</v>
      </c>
      <c r="E25" s="6">
        <v>3</v>
      </c>
      <c r="F25" s="32" t="s">
        <v>11</v>
      </c>
      <c r="G25" s="6">
        <v>1</v>
      </c>
      <c r="H25" s="55" t="s">
        <v>33</v>
      </c>
      <c r="I25" s="6">
        <v>3</v>
      </c>
      <c r="J25" s="32" t="s">
        <v>34</v>
      </c>
      <c r="K25" s="6">
        <v>3</v>
      </c>
      <c r="L25" s="55" t="s">
        <v>35</v>
      </c>
      <c r="M25" s="6">
        <v>9</v>
      </c>
      <c r="N25" s="55" t="s">
        <v>36</v>
      </c>
      <c r="O25" s="6">
        <v>3</v>
      </c>
      <c r="P25" s="1"/>
      <c r="Q25" s="2"/>
      <c r="R25" s="1"/>
      <c r="S25" s="2"/>
      <c r="T25" s="1"/>
      <c r="U25" s="2"/>
    </row>
    <row r="26" spans="1:21" ht="19.5">
      <c r="A26" s="1"/>
      <c r="B26" s="166"/>
      <c r="C26" s="66"/>
      <c r="D26" s="167"/>
      <c r="E26" s="6">
        <v>1</v>
      </c>
      <c r="F26" s="167"/>
      <c r="G26" s="6">
        <v>3</v>
      </c>
      <c r="H26" s="56"/>
      <c r="I26" s="6">
        <v>4</v>
      </c>
      <c r="J26" s="167"/>
      <c r="K26" s="6">
        <v>7</v>
      </c>
      <c r="L26" s="56"/>
      <c r="M26" s="6">
        <v>5</v>
      </c>
      <c r="N26" s="56"/>
      <c r="O26" s="6">
        <v>2</v>
      </c>
      <c r="P26" s="1"/>
      <c r="Q26" s="2"/>
      <c r="R26" s="1"/>
      <c r="S26" s="2"/>
      <c r="T26" s="1"/>
      <c r="U26" s="2"/>
    </row>
    <row r="27" spans="1:21" ht="19.5">
      <c r="A27" s="1"/>
      <c r="B27" s="168"/>
      <c r="C27" s="67"/>
      <c r="D27" s="167"/>
      <c r="E27" s="7" t="s">
        <v>29</v>
      </c>
      <c r="F27" s="167"/>
      <c r="G27" s="7" t="s">
        <v>20</v>
      </c>
      <c r="H27" s="56"/>
      <c r="I27" s="7" t="s">
        <v>37</v>
      </c>
      <c r="J27" s="167"/>
      <c r="K27" s="7" t="s">
        <v>20</v>
      </c>
      <c r="L27" s="56"/>
      <c r="M27" s="7" t="s">
        <v>18</v>
      </c>
      <c r="N27" s="56"/>
      <c r="O27" s="7" t="s">
        <v>17</v>
      </c>
      <c r="P27" s="1"/>
      <c r="Q27" s="2"/>
      <c r="R27" s="1"/>
      <c r="S27" s="2"/>
      <c r="T27" s="1"/>
      <c r="U27" s="2"/>
    </row>
    <row r="28" spans="1:21" ht="19.5">
      <c r="A28" s="1"/>
      <c r="B28" s="2"/>
      <c r="C28" s="68" t="s">
        <v>38</v>
      </c>
      <c r="D28" s="60" t="s">
        <v>23</v>
      </c>
      <c r="E28" s="8">
        <v>3</v>
      </c>
      <c r="F28" s="61" t="s">
        <v>11</v>
      </c>
      <c r="G28" s="8">
        <v>1</v>
      </c>
      <c r="H28" s="62" t="s">
        <v>24</v>
      </c>
      <c r="I28" s="8">
        <v>4</v>
      </c>
      <c r="J28" s="61" t="s">
        <v>13</v>
      </c>
      <c r="K28" s="8">
        <v>7</v>
      </c>
      <c r="L28" s="62" t="s">
        <v>35</v>
      </c>
      <c r="M28" s="8">
        <v>9</v>
      </c>
      <c r="N28" s="62" t="s">
        <v>27</v>
      </c>
      <c r="O28" s="8">
        <v>2</v>
      </c>
      <c r="P28" s="1"/>
      <c r="Q28" s="2"/>
      <c r="R28" s="1"/>
      <c r="S28" s="2"/>
      <c r="T28" s="1"/>
      <c r="U28" s="2"/>
    </row>
    <row r="29" spans="1:21" ht="19.5">
      <c r="A29" s="1"/>
      <c r="B29" s="2"/>
      <c r="C29" s="59"/>
      <c r="D29" s="169"/>
      <c r="E29" s="8">
        <v>1</v>
      </c>
      <c r="F29" s="169"/>
      <c r="G29" s="8">
        <v>3</v>
      </c>
      <c r="H29" s="63"/>
      <c r="I29" s="8">
        <v>8</v>
      </c>
      <c r="J29" s="169"/>
      <c r="K29" s="8">
        <v>5</v>
      </c>
      <c r="L29" s="63"/>
      <c r="M29" s="8">
        <v>5</v>
      </c>
      <c r="N29" s="63"/>
      <c r="O29" s="8">
        <v>3</v>
      </c>
      <c r="P29" s="1"/>
      <c r="Q29" s="2"/>
      <c r="R29" s="1"/>
      <c r="S29" s="2"/>
      <c r="T29" s="1"/>
      <c r="U29" s="2"/>
    </row>
    <row r="30" spans="1:21" ht="19.5">
      <c r="A30" s="1"/>
      <c r="B30" s="2"/>
      <c r="C30" s="69"/>
      <c r="D30" s="169"/>
      <c r="E30" s="9" t="s">
        <v>16</v>
      </c>
      <c r="F30" s="169"/>
      <c r="G30" s="9" t="s">
        <v>17</v>
      </c>
      <c r="H30" s="63"/>
      <c r="I30" s="9" t="s">
        <v>18</v>
      </c>
      <c r="J30" s="169"/>
      <c r="K30" s="9" t="s">
        <v>18</v>
      </c>
      <c r="L30" s="63"/>
      <c r="M30" s="9" t="s">
        <v>30</v>
      </c>
      <c r="N30" s="63"/>
      <c r="O30" s="9" t="s">
        <v>20</v>
      </c>
      <c r="P30" s="1"/>
      <c r="Q30" s="2"/>
      <c r="R30" s="1"/>
      <c r="S30" s="2"/>
      <c r="T30" s="1"/>
      <c r="U30" s="2"/>
    </row>
    <row r="31" spans="1:21" ht="19.5">
      <c r="A31" s="1"/>
      <c r="B31" s="2"/>
      <c r="C31" s="29" t="s">
        <v>39</v>
      </c>
      <c r="D31" s="26" t="s">
        <v>10</v>
      </c>
      <c r="E31" s="6">
        <v>1</v>
      </c>
      <c r="F31" s="32" t="s">
        <v>11</v>
      </c>
      <c r="G31" s="6">
        <v>1</v>
      </c>
      <c r="H31" s="55" t="s">
        <v>12</v>
      </c>
      <c r="I31" s="6">
        <v>1</v>
      </c>
      <c r="J31" s="55" t="s">
        <v>25</v>
      </c>
      <c r="K31" s="6">
        <v>6</v>
      </c>
      <c r="L31" s="55" t="s">
        <v>35</v>
      </c>
      <c r="M31" s="6">
        <v>9</v>
      </c>
      <c r="N31" s="55" t="s">
        <v>36</v>
      </c>
      <c r="O31" s="6">
        <v>3</v>
      </c>
      <c r="P31" s="1"/>
      <c r="Q31" s="2"/>
      <c r="R31" s="1"/>
      <c r="S31" s="2"/>
      <c r="T31" s="1"/>
      <c r="U31" s="2"/>
    </row>
    <row r="32" spans="1:21" ht="19.5">
      <c r="A32" s="1"/>
      <c r="B32" s="2"/>
      <c r="C32" s="30"/>
      <c r="D32" s="167"/>
      <c r="E32" s="6">
        <v>3</v>
      </c>
      <c r="F32" s="167"/>
      <c r="G32" s="6">
        <v>6</v>
      </c>
      <c r="H32" s="56"/>
      <c r="I32" s="6">
        <v>3</v>
      </c>
      <c r="J32" s="56"/>
      <c r="K32" s="6">
        <v>5</v>
      </c>
      <c r="L32" s="56"/>
      <c r="M32" s="6">
        <v>5</v>
      </c>
      <c r="N32" s="56"/>
      <c r="O32" s="6">
        <v>2</v>
      </c>
      <c r="P32" s="1"/>
      <c r="Q32" s="2"/>
      <c r="R32" s="1"/>
      <c r="S32" s="2"/>
      <c r="T32" s="1"/>
      <c r="U32" s="2"/>
    </row>
    <row r="33" spans="1:30" ht="19.5">
      <c r="A33" s="1"/>
      <c r="B33" s="2"/>
      <c r="C33" s="31"/>
      <c r="D33" s="167"/>
      <c r="E33" s="7" t="s">
        <v>29</v>
      </c>
      <c r="F33" s="167"/>
      <c r="G33" s="7" t="s">
        <v>20</v>
      </c>
      <c r="H33" s="56"/>
      <c r="I33" s="7" t="s">
        <v>16</v>
      </c>
      <c r="J33" s="56"/>
      <c r="K33" s="7" t="s">
        <v>40</v>
      </c>
      <c r="L33" s="56"/>
      <c r="M33" s="10" t="s">
        <v>17</v>
      </c>
      <c r="N33" s="56"/>
      <c r="O33" s="10" t="s">
        <v>16</v>
      </c>
      <c r="P33" s="1"/>
      <c r="Q33" s="2"/>
      <c r="R33" s="1"/>
      <c r="S33" s="2"/>
      <c r="T33" s="1"/>
      <c r="U33" s="2"/>
    </row>
    <row r="34" spans="1:30" ht="19.5">
      <c r="A34" s="1"/>
      <c r="B34" s="2"/>
      <c r="C34" s="70" t="s">
        <v>41</v>
      </c>
      <c r="D34" s="61" t="s">
        <v>23</v>
      </c>
      <c r="E34" s="8">
        <v>3</v>
      </c>
      <c r="F34" s="61" t="s">
        <v>11</v>
      </c>
      <c r="G34" s="8">
        <v>1</v>
      </c>
      <c r="H34" s="62" t="s">
        <v>24</v>
      </c>
      <c r="I34" s="8">
        <v>4</v>
      </c>
      <c r="J34" s="61" t="s">
        <v>25</v>
      </c>
      <c r="K34" s="8">
        <v>6</v>
      </c>
      <c r="L34" s="62" t="s">
        <v>14</v>
      </c>
      <c r="M34" s="8">
        <v>5</v>
      </c>
      <c r="N34" s="62" t="s">
        <v>27</v>
      </c>
      <c r="O34" s="8">
        <v>2</v>
      </c>
      <c r="P34" s="1"/>
      <c r="Q34" s="2"/>
      <c r="R34" s="1"/>
      <c r="S34" s="2"/>
      <c r="T34" s="1"/>
      <c r="U34" s="2"/>
    </row>
    <row r="35" spans="1:30" ht="19.5">
      <c r="A35" s="1"/>
      <c r="B35" s="2"/>
      <c r="C35" s="70"/>
      <c r="D35" s="169"/>
      <c r="E35" s="8">
        <v>1</v>
      </c>
      <c r="F35" s="169"/>
      <c r="G35" s="8">
        <v>3</v>
      </c>
      <c r="H35" s="63"/>
      <c r="I35" s="8">
        <v>3</v>
      </c>
      <c r="J35" s="169"/>
      <c r="K35" s="8">
        <v>7</v>
      </c>
      <c r="L35" s="63"/>
      <c r="M35" s="8">
        <v>9</v>
      </c>
      <c r="N35" s="63"/>
      <c r="O35" s="8">
        <v>3</v>
      </c>
      <c r="P35" s="1"/>
      <c r="Q35" s="2"/>
      <c r="R35" s="1"/>
      <c r="S35" s="2"/>
      <c r="T35" s="1"/>
      <c r="U35" s="2"/>
    </row>
    <row r="36" spans="1:30" ht="19.5">
      <c r="A36" s="1"/>
      <c r="B36" s="2"/>
      <c r="C36" s="71"/>
      <c r="D36" s="169"/>
      <c r="E36" s="9" t="s">
        <v>16</v>
      </c>
      <c r="F36" s="169"/>
      <c r="G36" s="9" t="s">
        <v>17</v>
      </c>
      <c r="H36" s="63"/>
      <c r="I36" s="9" t="s">
        <v>28</v>
      </c>
      <c r="J36" s="169"/>
      <c r="K36" s="9" t="s">
        <v>29</v>
      </c>
      <c r="L36" s="63"/>
      <c r="M36" s="9" t="s">
        <v>40</v>
      </c>
      <c r="N36" s="63"/>
      <c r="O36" s="9" t="s">
        <v>17</v>
      </c>
      <c r="P36" s="1"/>
      <c r="Q36" s="2"/>
      <c r="R36" s="1"/>
      <c r="S36" s="2"/>
      <c r="T36" s="1"/>
      <c r="U36" s="2"/>
    </row>
    <row r="37" spans="1:30" ht="19.5">
      <c r="A37" s="1"/>
      <c r="B37" s="2"/>
      <c r="C37" s="24" t="s">
        <v>42</v>
      </c>
      <c r="D37" s="26" t="s">
        <v>43</v>
      </c>
      <c r="E37" s="6">
        <v>2</v>
      </c>
      <c r="F37" s="32" t="s">
        <v>11</v>
      </c>
      <c r="G37" s="6">
        <v>1</v>
      </c>
      <c r="H37" s="55" t="s">
        <v>24</v>
      </c>
      <c r="I37" s="6">
        <v>4</v>
      </c>
      <c r="J37" s="32" t="s">
        <v>44</v>
      </c>
      <c r="K37" s="6">
        <v>5</v>
      </c>
      <c r="L37" s="55" t="s">
        <v>14</v>
      </c>
      <c r="M37" s="6">
        <v>5</v>
      </c>
      <c r="N37" s="55" t="s">
        <v>15</v>
      </c>
      <c r="O37" s="6">
        <v>4</v>
      </c>
      <c r="P37" s="1"/>
      <c r="Q37" s="2"/>
      <c r="R37" s="1"/>
      <c r="S37" s="2"/>
      <c r="T37" s="1"/>
      <c r="U37" s="2"/>
    </row>
    <row r="38" spans="1:30" ht="19.5">
      <c r="A38" s="1"/>
      <c r="B38" s="2"/>
      <c r="C38" s="24"/>
      <c r="D38" s="167"/>
      <c r="E38" s="6">
        <v>1</v>
      </c>
      <c r="F38" s="167"/>
      <c r="G38" s="6">
        <v>6</v>
      </c>
      <c r="H38" s="56"/>
      <c r="I38" s="6">
        <v>8</v>
      </c>
      <c r="J38" s="167"/>
      <c r="K38" s="6">
        <v>6</v>
      </c>
      <c r="L38" s="56"/>
      <c r="M38" s="6">
        <v>6</v>
      </c>
      <c r="N38" s="56"/>
      <c r="O38" s="6">
        <v>5</v>
      </c>
      <c r="P38" s="1"/>
      <c r="Q38" s="2"/>
      <c r="R38" s="1"/>
      <c r="S38" s="2"/>
      <c r="T38" s="1"/>
      <c r="U38" s="2"/>
    </row>
    <row r="39" spans="1:30" ht="19.5">
      <c r="A39" s="1"/>
      <c r="B39" s="2"/>
      <c r="C39" s="25"/>
      <c r="D39" s="167"/>
      <c r="E39" s="7" t="s">
        <v>18</v>
      </c>
      <c r="F39" s="167"/>
      <c r="G39" s="7" t="s">
        <v>18</v>
      </c>
      <c r="H39" s="56"/>
      <c r="I39" s="7" t="s">
        <v>18</v>
      </c>
      <c r="J39" s="167"/>
      <c r="K39" s="7" t="s">
        <v>18</v>
      </c>
      <c r="L39" s="56"/>
      <c r="M39" s="7" t="s">
        <v>28</v>
      </c>
      <c r="N39" s="56"/>
      <c r="O39" s="7" t="s">
        <v>29</v>
      </c>
      <c r="P39" s="1"/>
      <c r="Q39" s="2"/>
      <c r="R39" s="1"/>
      <c r="S39" s="2"/>
      <c r="T39" s="1"/>
      <c r="U39" s="2"/>
    </row>
    <row r="40" spans="1:30" ht="19.5">
      <c r="A40" s="1"/>
      <c r="B40" s="2"/>
      <c r="C40" s="59" t="s">
        <v>45</v>
      </c>
      <c r="D40" s="61" t="s">
        <v>10</v>
      </c>
      <c r="E40" s="8">
        <v>1</v>
      </c>
      <c r="F40" s="61" t="s">
        <v>11</v>
      </c>
      <c r="G40" s="8">
        <v>1</v>
      </c>
      <c r="H40" s="62" t="s">
        <v>33</v>
      </c>
      <c r="I40" s="8">
        <v>3</v>
      </c>
      <c r="J40" s="61" t="s">
        <v>13</v>
      </c>
      <c r="K40" s="8">
        <v>7</v>
      </c>
      <c r="L40" s="62" t="s">
        <v>35</v>
      </c>
      <c r="M40" s="8">
        <v>9</v>
      </c>
      <c r="N40" s="62" t="s">
        <v>27</v>
      </c>
      <c r="O40" s="8">
        <v>2</v>
      </c>
      <c r="P40" s="1"/>
      <c r="Q40" s="2"/>
      <c r="R40" s="1"/>
      <c r="S40" s="2"/>
      <c r="T40" s="1"/>
      <c r="U40" s="2"/>
    </row>
    <row r="41" spans="1:30" ht="19.5">
      <c r="A41" s="1"/>
      <c r="B41" s="2"/>
      <c r="C41" s="59"/>
      <c r="D41" s="169"/>
      <c r="E41" s="8">
        <v>2</v>
      </c>
      <c r="F41" s="169"/>
      <c r="G41" s="8">
        <v>3</v>
      </c>
      <c r="H41" s="63"/>
      <c r="I41" s="8">
        <v>4</v>
      </c>
      <c r="J41" s="169"/>
      <c r="K41" s="8">
        <v>6</v>
      </c>
      <c r="L41" s="63"/>
      <c r="M41" s="8">
        <v>3</v>
      </c>
      <c r="N41" s="63"/>
      <c r="O41" s="8">
        <v>3</v>
      </c>
      <c r="P41" s="1"/>
      <c r="Q41" s="2"/>
      <c r="R41" s="1"/>
      <c r="S41" s="2"/>
      <c r="T41" s="1"/>
      <c r="U41" s="2"/>
    </row>
    <row r="42" spans="1:30" ht="19.5">
      <c r="A42" s="1"/>
      <c r="B42" s="2"/>
      <c r="C42" s="59"/>
      <c r="D42" s="169"/>
      <c r="E42" s="9" t="s">
        <v>18</v>
      </c>
      <c r="F42" s="169"/>
      <c r="G42" s="9" t="s">
        <v>20</v>
      </c>
      <c r="H42" s="63"/>
      <c r="I42" s="9" t="s">
        <v>37</v>
      </c>
      <c r="J42" s="169"/>
      <c r="K42" s="9" t="s">
        <v>20</v>
      </c>
      <c r="L42" s="63"/>
      <c r="M42" s="9" t="s">
        <v>17</v>
      </c>
      <c r="N42" s="63"/>
      <c r="O42" s="9" t="s">
        <v>16</v>
      </c>
      <c r="P42" s="1"/>
      <c r="Q42" s="2"/>
      <c r="R42" s="1"/>
      <c r="S42" s="2"/>
      <c r="T42" s="1"/>
      <c r="U42" s="2"/>
    </row>
    <row r="43" spans="1:30" ht="21">
      <c r="A43" s="1"/>
      <c r="B43" s="2"/>
      <c r="C43" s="11"/>
      <c r="D43" s="73" t="s">
        <v>46</v>
      </c>
      <c r="E43" s="170"/>
      <c r="F43" s="72" t="s">
        <v>47</v>
      </c>
      <c r="G43" s="170"/>
      <c r="H43" s="72" t="s">
        <v>48</v>
      </c>
      <c r="I43" s="170"/>
      <c r="J43" s="72" t="s">
        <v>49</v>
      </c>
      <c r="K43" s="170"/>
      <c r="L43" s="72" t="s">
        <v>50</v>
      </c>
      <c r="M43" s="170"/>
      <c r="N43" s="72" t="s">
        <v>51</v>
      </c>
      <c r="O43" s="170"/>
      <c r="P43" s="1"/>
      <c r="Q43" s="2"/>
      <c r="R43" s="1"/>
      <c r="S43" s="2"/>
      <c r="T43" s="1"/>
      <c r="U43" s="2"/>
    </row>
    <row r="44" spans="1:30" ht="15.7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  <c r="O44" s="3"/>
      <c r="P44" s="1"/>
      <c r="Q44" s="2"/>
      <c r="R44" s="1"/>
      <c r="S44" s="2"/>
      <c r="T44" s="1"/>
      <c r="U44" s="2"/>
      <c r="V44" s="2"/>
      <c r="W44" s="2"/>
      <c r="X44" s="2"/>
      <c r="Y44" s="2"/>
      <c r="Z44" s="2"/>
      <c r="AA44" s="2"/>
      <c r="AB44" s="2"/>
      <c r="AC44" s="3"/>
      <c r="AD44" s="3"/>
    </row>
    <row r="45" spans="1:30" ht="15.7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O45" s="3"/>
      <c r="P45" s="1"/>
      <c r="Q45" s="2"/>
      <c r="R45" s="1"/>
      <c r="S45" s="2"/>
      <c r="T45" s="1"/>
      <c r="U45" s="2"/>
      <c r="V45" s="2"/>
      <c r="W45" s="2"/>
      <c r="X45" s="2"/>
      <c r="Y45" s="2"/>
      <c r="Z45" s="2"/>
      <c r="AA45" s="2"/>
      <c r="AB45" s="2"/>
      <c r="AC45" s="3"/>
      <c r="AD45" s="3"/>
    </row>
    <row r="46" spans="1:30" ht="15.7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/>
      <c r="O46" s="3"/>
      <c r="P46" s="1"/>
      <c r="Q46" s="2"/>
      <c r="R46" s="1"/>
      <c r="S46" s="2"/>
      <c r="T46" s="1"/>
      <c r="U46" s="2"/>
      <c r="V46" s="2"/>
      <c r="W46" s="2"/>
      <c r="X46" s="2"/>
      <c r="Y46" s="2"/>
      <c r="Z46" s="2"/>
      <c r="AA46" s="2"/>
      <c r="AB46" s="2"/>
      <c r="AC46" s="3"/>
      <c r="AD46" s="3"/>
    </row>
    <row r="47" spans="1:30" ht="15.7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/>
      <c r="O47" s="3"/>
      <c r="P47" s="1"/>
      <c r="Q47" s="2"/>
      <c r="R47" s="1"/>
      <c r="S47" s="2"/>
      <c r="T47" s="1"/>
      <c r="U47" s="2"/>
      <c r="V47" s="2"/>
      <c r="W47" s="2"/>
      <c r="X47" s="2"/>
      <c r="Y47" s="2"/>
      <c r="Z47" s="2"/>
      <c r="AA47" s="2"/>
      <c r="AB47" s="2"/>
      <c r="AC47" s="3"/>
      <c r="AD47" s="3"/>
    </row>
    <row r="48" spans="1:30" ht="15.7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"/>
      <c r="O48" s="3"/>
      <c r="P48" s="1"/>
      <c r="Q48" s="2"/>
      <c r="R48" s="1"/>
      <c r="S48" s="2"/>
      <c r="T48" s="1"/>
      <c r="U48" s="2"/>
      <c r="V48" s="2"/>
      <c r="W48" s="2"/>
      <c r="X48" s="2"/>
      <c r="Y48" s="2"/>
      <c r="Z48" s="2"/>
      <c r="AA48" s="2"/>
      <c r="AB48" s="2"/>
      <c r="AC48" s="3"/>
      <c r="AD48" s="3"/>
    </row>
    <row r="49" spans="1:30" ht="15.7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  <c r="O49" s="3"/>
      <c r="P49" s="1"/>
      <c r="Q49" s="2"/>
      <c r="R49" s="1"/>
      <c r="S49" s="2"/>
      <c r="T49" s="1"/>
      <c r="U49" s="2"/>
      <c r="V49" s="2"/>
      <c r="W49" s="2"/>
      <c r="X49" s="2"/>
      <c r="Y49" s="2"/>
      <c r="Z49" s="2"/>
      <c r="AA49" s="2"/>
      <c r="AB49" s="2"/>
      <c r="AC49" s="3"/>
      <c r="AD49" s="3"/>
    </row>
    <row r="50" spans="1:30" ht="15.7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  <c r="O50" s="3"/>
      <c r="P50" s="1"/>
      <c r="Q50" s="2"/>
      <c r="R50" s="1"/>
      <c r="S50" s="2"/>
      <c r="T50" s="1"/>
      <c r="U50" s="2"/>
      <c r="V50" s="2"/>
      <c r="W50" s="2"/>
      <c r="X50" s="2"/>
      <c r="Y50" s="2"/>
      <c r="Z50" s="2"/>
      <c r="AA50" s="2"/>
      <c r="AB50" s="2"/>
      <c r="AC50" s="3"/>
      <c r="AD50" s="3"/>
    </row>
    <row r="51" spans="1:30" ht="15.7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  <c r="O51" s="3"/>
      <c r="P51" s="1"/>
      <c r="Q51" s="2"/>
      <c r="R51" s="1"/>
      <c r="S51" s="2"/>
      <c r="T51" s="1"/>
      <c r="U51" s="2"/>
      <c r="V51" s="2"/>
      <c r="W51" s="2"/>
      <c r="X51" s="2"/>
      <c r="Y51" s="2"/>
      <c r="Z51" s="2"/>
      <c r="AA51" s="2"/>
      <c r="AB51" s="2"/>
      <c r="AC51" s="3"/>
      <c r="AD51" s="3"/>
    </row>
    <row r="52" spans="1:30" ht="15.7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"/>
      <c r="O52" s="3"/>
      <c r="P52" s="1"/>
      <c r="Q52" s="2"/>
      <c r="R52" s="1"/>
      <c r="S52" s="2"/>
      <c r="T52" s="1"/>
      <c r="U52" s="2"/>
      <c r="V52" s="2"/>
      <c r="W52" s="2"/>
      <c r="X52" s="2"/>
      <c r="Y52" s="2"/>
      <c r="Z52" s="2"/>
      <c r="AA52" s="2"/>
      <c r="AB52" s="2"/>
      <c r="AC52" s="3"/>
      <c r="AD52" s="3"/>
    </row>
    <row r="53" spans="1:30" ht="15.7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"/>
      <c r="O53" s="3"/>
      <c r="P53" s="1"/>
      <c r="Q53" s="2"/>
      <c r="R53" s="1"/>
      <c r="S53" s="2"/>
      <c r="T53" s="1"/>
      <c r="U53" s="2"/>
      <c r="V53" s="2"/>
      <c r="W53" s="2"/>
      <c r="X53" s="2"/>
      <c r="Y53" s="2"/>
      <c r="Z53" s="2"/>
      <c r="AA53" s="2"/>
      <c r="AB53" s="2"/>
      <c r="AC53" s="3"/>
      <c r="AD53" s="3"/>
    </row>
    <row r="54" spans="1:30" ht="15.7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3"/>
      <c r="O54" s="3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3"/>
      <c r="AD54" s="3"/>
    </row>
    <row r="55" spans="1:30" ht="15.7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/>
      <c r="O55" s="3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3"/>
      <c r="AD55" s="3"/>
    </row>
    <row r="56" spans="1:30" ht="15.75"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3"/>
      <c r="AD56" s="3"/>
    </row>
    <row r="57" spans="1:30" ht="15.75"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3"/>
      <c r="AD57" s="3"/>
    </row>
  </sheetData>
  <mergeCells count="74">
    <mergeCell ref="F43:G43"/>
    <mergeCell ref="H43:I43"/>
    <mergeCell ref="J43:K43"/>
    <mergeCell ref="L43:M43"/>
    <mergeCell ref="N43:O43"/>
    <mergeCell ref="N37:N39"/>
    <mergeCell ref="C40:C42"/>
    <mergeCell ref="D40:D42"/>
    <mergeCell ref="F40:F42"/>
    <mergeCell ref="H40:H42"/>
    <mergeCell ref="J40:J42"/>
    <mergeCell ref="L40:L42"/>
    <mergeCell ref="N40:N42"/>
    <mergeCell ref="C37:C39"/>
    <mergeCell ref="D37:D39"/>
    <mergeCell ref="F37:F39"/>
    <mergeCell ref="H37:H39"/>
    <mergeCell ref="J37:J39"/>
    <mergeCell ref="L37:L39"/>
    <mergeCell ref="D43:E43"/>
    <mergeCell ref="N31:N33"/>
    <mergeCell ref="C34:C36"/>
    <mergeCell ref="D34:D36"/>
    <mergeCell ref="F34:F36"/>
    <mergeCell ref="H34:H36"/>
    <mergeCell ref="J34:J36"/>
    <mergeCell ref="L34:L36"/>
    <mergeCell ref="N34:N36"/>
    <mergeCell ref="C31:C33"/>
    <mergeCell ref="D31:D33"/>
    <mergeCell ref="F31:F33"/>
    <mergeCell ref="H31:H33"/>
    <mergeCell ref="J31:J33"/>
    <mergeCell ref="L31:L33"/>
    <mergeCell ref="L25:L27"/>
    <mergeCell ref="N25:N27"/>
    <mergeCell ref="C28:C30"/>
    <mergeCell ref="D28:D30"/>
    <mergeCell ref="F28:F30"/>
    <mergeCell ref="H28:H30"/>
    <mergeCell ref="J28:J30"/>
    <mergeCell ref="L28:L30"/>
    <mergeCell ref="N28:N30"/>
    <mergeCell ref="J25:J27"/>
    <mergeCell ref="B25:B27"/>
    <mergeCell ref="C25:C27"/>
    <mergeCell ref="D25:D27"/>
    <mergeCell ref="F25:F27"/>
    <mergeCell ref="H25:H27"/>
    <mergeCell ref="L19:L21"/>
    <mergeCell ref="N19:N21"/>
    <mergeCell ref="B22:B24"/>
    <mergeCell ref="C22:C24"/>
    <mergeCell ref="D22:D24"/>
    <mergeCell ref="F22:F24"/>
    <mergeCell ref="H22:H24"/>
    <mergeCell ref="J22:J24"/>
    <mergeCell ref="L22:L24"/>
    <mergeCell ref="N22:N24"/>
    <mergeCell ref="B19:B21"/>
    <mergeCell ref="C19:C21"/>
    <mergeCell ref="D19:D21"/>
    <mergeCell ref="F19:F21"/>
    <mergeCell ref="H19:H21"/>
    <mergeCell ref="J19:J21"/>
    <mergeCell ref="B13:O15"/>
    <mergeCell ref="A16:M16"/>
    <mergeCell ref="B17:C18"/>
    <mergeCell ref="D17:E18"/>
    <mergeCell ref="F17:G18"/>
    <mergeCell ref="H17:I18"/>
    <mergeCell ref="J17:K18"/>
    <mergeCell ref="L17:M18"/>
    <mergeCell ref="N17:O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3BE4-C13E-433E-9151-FD96502A8BD3}">
  <sheetPr>
    <tabColor theme="3" tint="0.249977111117893"/>
  </sheetPr>
  <dimension ref="A1:V41"/>
  <sheetViews>
    <sheetView workbookViewId="0">
      <selection activeCell="L5" sqref="L5"/>
    </sheetView>
  </sheetViews>
  <sheetFormatPr defaultRowHeight="15"/>
  <cols>
    <col min="2" max="2" width="8.42578125" customWidth="1"/>
    <col min="3" max="3" width="39.140625" customWidth="1"/>
    <col min="4" max="4" width="26.7109375" customWidth="1"/>
    <col min="5" max="5" width="5.7109375" customWidth="1"/>
    <col min="6" max="6" width="27" customWidth="1"/>
    <col min="7" max="7" width="5.28515625" customWidth="1"/>
    <col min="8" max="8" width="27.140625" customWidth="1"/>
    <col min="9" max="9" width="5.5703125" customWidth="1"/>
    <col min="10" max="10" width="27.28515625" customWidth="1"/>
    <col min="11" max="11" width="5.7109375" customWidth="1"/>
    <col min="12" max="12" width="26.85546875" customWidth="1"/>
    <col min="13" max="13" width="6.140625" customWidth="1"/>
    <col min="14" max="14" width="26.28515625" customWidth="1"/>
    <col min="15" max="15" width="6.140625" customWidth="1"/>
    <col min="16" max="16" width="11.28515625" customWidth="1"/>
    <col min="17" max="17" width="10.85546875" customWidth="1"/>
    <col min="18" max="18" width="10.140625" customWidth="1"/>
    <col min="19" max="19" width="17.42578125" customWidth="1"/>
    <col min="20" max="20" width="16.140625" customWidth="1"/>
  </cols>
  <sheetData>
    <row r="1" spans="1:22" ht="15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3"/>
      <c r="R1" s="3"/>
      <c r="S1" s="3"/>
      <c r="T1" s="3"/>
      <c r="U1" s="3"/>
      <c r="V1" s="3"/>
    </row>
    <row r="2" spans="1:22" ht="15.7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3"/>
      <c r="R2" s="3"/>
      <c r="S2" s="3"/>
      <c r="T2" s="3"/>
      <c r="U2" s="3"/>
      <c r="V2" s="3"/>
    </row>
    <row r="3" spans="1:22" ht="15.7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3"/>
      <c r="R3" s="3"/>
      <c r="S3" s="3"/>
      <c r="T3" s="3"/>
      <c r="U3" s="3"/>
      <c r="V3" s="3"/>
    </row>
    <row r="4" spans="1:22" ht="15.7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"/>
      <c r="Q4" s="3"/>
      <c r="R4" s="3"/>
      <c r="S4" s="3"/>
      <c r="T4" s="3"/>
      <c r="U4" s="3"/>
      <c r="V4" s="3"/>
    </row>
    <row r="5" spans="1:22" ht="15.7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3"/>
      <c r="R5" s="3"/>
      <c r="S5" s="3"/>
      <c r="T5" s="3"/>
      <c r="U5" s="3"/>
      <c r="V5" s="3"/>
    </row>
    <row r="6" spans="1:22" ht="15.7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1"/>
      <c r="Q6" s="3"/>
      <c r="R6" s="3"/>
      <c r="S6" s="3"/>
      <c r="T6" s="3"/>
      <c r="U6" s="3"/>
      <c r="V6" s="3"/>
    </row>
    <row r="7" spans="1:22" ht="15.7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3"/>
      <c r="R7" s="3"/>
      <c r="S7" s="3"/>
      <c r="T7" s="3"/>
      <c r="U7" s="3"/>
      <c r="V7" s="3"/>
    </row>
    <row r="8" spans="1:22" ht="15.75">
      <c r="A8" s="1"/>
      <c r="B8" s="149" t="s">
        <v>0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1"/>
      <c r="U8" s="3"/>
      <c r="V8" s="3"/>
    </row>
    <row r="9" spans="1:22" ht="15.75">
      <c r="A9" s="1"/>
      <c r="B9" s="51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152"/>
      <c r="U9" s="3"/>
      <c r="V9" s="3"/>
    </row>
    <row r="10" spans="1:22" ht="15.75">
      <c r="A10" s="1"/>
      <c r="B10" s="153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5"/>
      <c r="U10" s="3"/>
      <c r="V10" s="3"/>
    </row>
    <row r="11" spans="1:22" ht="15.75">
      <c r="A11" s="157"/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4"/>
      <c r="V11" s="4"/>
    </row>
    <row r="12" spans="1:22" ht="15.75">
      <c r="A12" s="1"/>
      <c r="B12" s="53" t="s">
        <v>1</v>
      </c>
      <c r="C12" s="159"/>
      <c r="D12" s="53" t="s">
        <v>2</v>
      </c>
      <c r="E12" s="160"/>
      <c r="F12" s="54" t="s">
        <v>3</v>
      </c>
      <c r="G12" s="160"/>
      <c r="H12" s="54" t="s">
        <v>4</v>
      </c>
      <c r="I12" s="160"/>
      <c r="J12" s="54" t="s">
        <v>5</v>
      </c>
      <c r="K12" s="160"/>
      <c r="L12" s="54" t="s">
        <v>6</v>
      </c>
      <c r="M12" s="160"/>
      <c r="N12" s="54" t="s">
        <v>7</v>
      </c>
      <c r="O12" s="160"/>
      <c r="P12" s="156" t="s">
        <v>52</v>
      </c>
      <c r="Q12" s="143" t="s">
        <v>53</v>
      </c>
      <c r="R12" s="143" t="s">
        <v>54</v>
      </c>
      <c r="S12" s="144" t="s">
        <v>55</v>
      </c>
      <c r="T12" s="145" t="s">
        <v>56</v>
      </c>
      <c r="U12" s="3"/>
      <c r="V12" s="3"/>
    </row>
    <row r="13" spans="1:22" ht="15.75">
      <c r="A13" s="5"/>
      <c r="B13" s="161"/>
      <c r="C13" s="162"/>
      <c r="D13" s="163"/>
      <c r="E13" s="164"/>
      <c r="F13" s="165"/>
      <c r="G13" s="164"/>
      <c r="H13" s="165"/>
      <c r="I13" s="164"/>
      <c r="J13" s="165"/>
      <c r="K13" s="164"/>
      <c r="L13" s="165"/>
      <c r="M13" s="164"/>
      <c r="N13" s="165"/>
      <c r="O13" s="164"/>
      <c r="P13" s="171"/>
      <c r="Q13" s="172"/>
      <c r="R13" s="172"/>
      <c r="S13" s="166"/>
      <c r="T13" s="173"/>
      <c r="U13" s="3"/>
      <c r="V13" s="3"/>
    </row>
    <row r="14" spans="1:22" ht="17.25">
      <c r="A14" s="1"/>
      <c r="B14" s="146" t="s">
        <v>57</v>
      </c>
      <c r="C14" s="174"/>
      <c r="D14" s="147">
        <v>4</v>
      </c>
      <c r="E14" s="175"/>
      <c r="F14" s="138">
        <v>6</v>
      </c>
      <c r="G14" s="175"/>
      <c r="H14" s="138">
        <v>9</v>
      </c>
      <c r="I14" s="175"/>
      <c r="J14" s="148">
        <v>10</v>
      </c>
      <c r="K14" s="176"/>
      <c r="L14" s="138">
        <v>10</v>
      </c>
      <c r="M14" s="175"/>
      <c r="N14" s="138">
        <v>5</v>
      </c>
      <c r="O14" s="175"/>
      <c r="P14" s="171"/>
      <c r="Q14" s="172"/>
      <c r="R14" s="172"/>
      <c r="S14" s="166"/>
      <c r="T14" s="139" t="s">
        <v>55</v>
      </c>
      <c r="U14" s="3"/>
      <c r="V14" s="3"/>
    </row>
    <row r="15" spans="1:22" ht="17.25">
      <c r="A15" s="1"/>
      <c r="B15" s="140" t="s">
        <v>58</v>
      </c>
      <c r="C15" s="174"/>
      <c r="D15" s="141" t="s">
        <v>46</v>
      </c>
      <c r="E15" s="177"/>
      <c r="F15" s="142" t="s">
        <v>59</v>
      </c>
      <c r="G15" s="177"/>
      <c r="H15" s="142" t="s">
        <v>60</v>
      </c>
      <c r="I15" s="177"/>
      <c r="J15" s="142" t="s">
        <v>61</v>
      </c>
      <c r="K15" s="177"/>
      <c r="L15" s="142" t="s">
        <v>62</v>
      </c>
      <c r="M15" s="177"/>
      <c r="N15" s="142" t="s">
        <v>63</v>
      </c>
      <c r="O15" s="177"/>
      <c r="P15" s="171"/>
      <c r="Q15" s="172"/>
      <c r="R15" s="172"/>
      <c r="S15" s="166"/>
      <c r="T15" s="173"/>
      <c r="U15" s="3"/>
      <c r="V15" s="3"/>
    </row>
    <row r="16" spans="1:22" ht="19.5">
      <c r="A16" s="1"/>
      <c r="B16" s="64" t="s">
        <v>8</v>
      </c>
      <c r="C16" s="42" t="s">
        <v>9</v>
      </c>
      <c r="D16" s="26" t="s">
        <v>10</v>
      </c>
      <c r="E16" s="6">
        <v>1</v>
      </c>
      <c r="F16" s="32" t="s">
        <v>11</v>
      </c>
      <c r="G16" s="6">
        <v>1</v>
      </c>
      <c r="H16" s="55" t="s">
        <v>12</v>
      </c>
      <c r="I16" s="6">
        <v>1</v>
      </c>
      <c r="J16" s="32" t="s">
        <v>13</v>
      </c>
      <c r="K16" s="6">
        <v>7</v>
      </c>
      <c r="L16" s="55" t="s">
        <v>14</v>
      </c>
      <c r="M16" s="6">
        <v>5</v>
      </c>
      <c r="N16" s="55" t="s">
        <v>15</v>
      </c>
      <c r="O16" s="6">
        <v>4</v>
      </c>
      <c r="P16" s="99">
        <f>5+10+27+6+8</f>
        <v>56</v>
      </c>
      <c r="Q16" s="102"/>
      <c r="R16" s="114">
        <f t="shared" ref="R16" si="0">Q16+P16</f>
        <v>56</v>
      </c>
      <c r="S16" s="136">
        <v>1901</v>
      </c>
      <c r="T16" s="132">
        <f>S16+R16</f>
        <v>1957</v>
      </c>
      <c r="U16" s="3"/>
      <c r="V16" s="3"/>
    </row>
    <row r="17" spans="1:22" ht="19.5">
      <c r="A17" s="1"/>
      <c r="B17" s="166"/>
      <c r="C17" s="42"/>
      <c r="D17" s="167"/>
      <c r="E17" s="6">
        <v>3</v>
      </c>
      <c r="F17" s="167"/>
      <c r="G17" s="6">
        <v>3</v>
      </c>
      <c r="H17" s="56"/>
      <c r="I17" s="6">
        <v>4</v>
      </c>
      <c r="J17" s="167"/>
      <c r="K17" s="6">
        <v>5</v>
      </c>
      <c r="L17" s="56"/>
      <c r="M17" s="6">
        <v>6</v>
      </c>
      <c r="N17" s="56"/>
      <c r="O17" s="6">
        <v>3</v>
      </c>
      <c r="P17" s="100"/>
      <c r="Q17" s="103"/>
      <c r="R17" s="178"/>
      <c r="S17" s="116"/>
      <c r="T17" s="96"/>
      <c r="U17" s="3"/>
      <c r="V17" s="3"/>
    </row>
    <row r="18" spans="1:22" ht="19.5">
      <c r="A18" s="1"/>
      <c r="B18" s="168"/>
      <c r="C18" s="42"/>
      <c r="D18" s="167"/>
      <c r="E18" s="7" t="s">
        <v>16</v>
      </c>
      <c r="F18" s="167"/>
      <c r="G18" s="7" t="s">
        <v>17</v>
      </c>
      <c r="H18" s="56"/>
      <c r="I18" s="7" t="s">
        <v>18</v>
      </c>
      <c r="J18" s="167"/>
      <c r="K18" s="7" t="s">
        <v>18</v>
      </c>
      <c r="L18" s="56"/>
      <c r="M18" s="7" t="s">
        <v>19</v>
      </c>
      <c r="N18" s="56"/>
      <c r="O18" s="7" t="s">
        <v>20</v>
      </c>
      <c r="P18" s="134"/>
      <c r="Q18" s="135"/>
      <c r="R18" s="178"/>
      <c r="S18" s="137"/>
      <c r="T18" s="118"/>
      <c r="U18" s="3"/>
      <c r="V18" s="3"/>
    </row>
    <row r="19" spans="1:22" ht="19.5">
      <c r="A19" s="1"/>
      <c r="B19" s="57" t="s">
        <v>21</v>
      </c>
      <c r="C19" s="58" t="s">
        <v>22</v>
      </c>
      <c r="D19" s="60" t="s">
        <v>23</v>
      </c>
      <c r="E19" s="8">
        <v>3</v>
      </c>
      <c r="F19" s="61" t="s">
        <v>11</v>
      </c>
      <c r="G19" s="8">
        <v>1</v>
      </c>
      <c r="H19" s="62" t="s">
        <v>24</v>
      </c>
      <c r="I19" s="8">
        <v>4</v>
      </c>
      <c r="J19" s="61" t="s">
        <v>25</v>
      </c>
      <c r="K19" s="8">
        <v>6</v>
      </c>
      <c r="L19" s="62" t="s">
        <v>26</v>
      </c>
      <c r="M19" s="8">
        <v>3</v>
      </c>
      <c r="N19" s="62" t="s">
        <v>27</v>
      </c>
      <c r="O19" s="8">
        <v>2</v>
      </c>
      <c r="P19" s="133">
        <f>30+9+6+12</f>
        <v>57</v>
      </c>
      <c r="Q19" s="124"/>
      <c r="R19" s="125">
        <f t="shared" ref="R19" si="1">Q19+P19</f>
        <v>57</v>
      </c>
      <c r="S19" s="126">
        <v>1832</v>
      </c>
      <c r="T19" s="129">
        <f>S19+R19</f>
        <v>1889</v>
      </c>
      <c r="U19" s="3"/>
      <c r="V19" s="3"/>
    </row>
    <row r="20" spans="1:22" ht="19.5">
      <c r="A20" s="1"/>
      <c r="B20" s="166"/>
      <c r="C20" s="59"/>
      <c r="D20" s="169"/>
      <c r="E20" s="8">
        <v>2</v>
      </c>
      <c r="F20" s="169"/>
      <c r="G20" s="8">
        <v>6</v>
      </c>
      <c r="H20" s="63"/>
      <c r="I20" s="8">
        <v>1</v>
      </c>
      <c r="J20" s="169"/>
      <c r="K20" s="8">
        <v>5</v>
      </c>
      <c r="L20" s="63"/>
      <c r="M20" s="8">
        <v>7</v>
      </c>
      <c r="N20" s="63"/>
      <c r="O20" s="8">
        <v>4</v>
      </c>
      <c r="P20" s="75"/>
      <c r="Q20" s="78"/>
      <c r="R20" s="179"/>
      <c r="S20" s="127"/>
      <c r="T20" s="87"/>
      <c r="U20" s="3"/>
      <c r="V20" s="3"/>
    </row>
    <row r="21" spans="1:22" ht="19.5">
      <c r="A21" s="1"/>
      <c r="B21" s="168"/>
      <c r="C21" s="59"/>
      <c r="D21" s="169"/>
      <c r="E21" s="9" t="s">
        <v>28</v>
      </c>
      <c r="F21" s="169"/>
      <c r="G21" s="9" t="s">
        <v>18</v>
      </c>
      <c r="H21" s="63"/>
      <c r="I21" s="9" t="s">
        <v>18</v>
      </c>
      <c r="J21" s="169"/>
      <c r="K21" s="9" t="s">
        <v>29</v>
      </c>
      <c r="L21" s="63"/>
      <c r="M21" s="9" t="s">
        <v>30</v>
      </c>
      <c r="N21" s="63"/>
      <c r="O21" s="9" t="s">
        <v>20</v>
      </c>
      <c r="P21" s="76"/>
      <c r="Q21" s="79"/>
      <c r="R21" s="179"/>
      <c r="S21" s="128"/>
      <c r="T21" s="88"/>
      <c r="U21" s="3"/>
      <c r="V21" s="3"/>
    </row>
    <row r="22" spans="1:22" ht="19.5">
      <c r="A22" s="1"/>
      <c r="B22" s="57" t="s">
        <v>31</v>
      </c>
      <c r="C22" s="130" t="s">
        <v>38</v>
      </c>
      <c r="D22" s="26" t="s">
        <v>23</v>
      </c>
      <c r="E22" s="6">
        <v>3</v>
      </c>
      <c r="F22" s="32" t="s">
        <v>11</v>
      </c>
      <c r="G22" s="6">
        <v>1</v>
      </c>
      <c r="H22" s="55" t="s">
        <v>24</v>
      </c>
      <c r="I22" s="6">
        <v>4</v>
      </c>
      <c r="J22" s="32" t="s">
        <v>13</v>
      </c>
      <c r="K22" s="6">
        <v>7</v>
      </c>
      <c r="L22" s="55" t="s">
        <v>35</v>
      </c>
      <c r="M22" s="6">
        <v>9</v>
      </c>
      <c r="N22" s="55" t="s">
        <v>27</v>
      </c>
      <c r="O22" s="6">
        <v>2</v>
      </c>
      <c r="P22" s="99">
        <f>20+9+6+12</f>
        <v>47</v>
      </c>
      <c r="Q22" s="102"/>
      <c r="R22" s="89">
        <f t="shared" ref="R22" si="2">Q22+P22</f>
        <v>47</v>
      </c>
      <c r="S22" s="92">
        <v>1825</v>
      </c>
      <c r="T22" s="95">
        <f>S22+R22</f>
        <v>1872</v>
      </c>
      <c r="U22" s="3"/>
      <c r="V22" s="3"/>
    </row>
    <row r="23" spans="1:22" ht="19.5">
      <c r="A23" s="1"/>
      <c r="B23" s="166"/>
      <c r="C23" s="24"/>
      <c r="D23" s="167"/>
      <c r="E23" s="6">
        <v>1</v>
      </c>
      <c r="F23" s="167"/>
      <c r="G23" s="6">
        <v>3</v>
      </c>
      <c r="H23" s="56"/>
      <c r="I23" s="6">
        <v>8</v>
      </c>
      <c r="J23" s="167"/>
      <c r="K23" s="6">
        <v>5</v>
      </c>
      <c r="L23" s="56"/>
      <c r="M23" s="6">
        <v>5</v>
      </c>
      <c r="N23" s="56"/>
      <c r="O23" s="6">
        <v>3</v>
      </c>
      <c r="P23" s="100"/>
      <c r="Q23" s="103"/>
      <c r="R23" s="90"/>
      <c r="S23" s="93"/>
      <c r="T23" s="96"/>
      <c r="U23" s="3"/>
      <c r="V23" s="3"/>
    </row>
    <row r="24" spans="1:22" ht="19.5">
      <c r="A24" s="1"/>
      <c r="B24" s="168"/>
      <c r="C24" s="131"/>
      <c r="D24" s="167"/>
      <c r="E24" s="7" t="s">
        <v>16</v>
      </c>
      <c r="F24" s="167"/>
      <c r="G24" s="7" t="s">
        <v>17</v>
      </c>
      <c r="H24" s="56"/>
      <c r="I24" s="7" t="s">
        <v>18</v>
      </c>
      <c r="J24" s="167"/>
      <c r="K24" s="7" t="s">
        <v>18</v>
      </c>
      <c r="L24" s="56"/>
      <c r="M24" s="7" t="s">
        <v>30</v>
      </c>
      <c r="N24" s="56"/>
      <c r="O24" s="7" t="s">
        <v>20</v>
      </c>
      <c r="P24" s="112"/>
      <c r="Q24" s="122"/>
      <c r="R24" s="91"/>
      <c r="S24" s="123"/>
      <c r="T24" s="118"/>
      <c r="U24" s="3"/>
      <c r="V24" s="3"/>
    </row>
    <row r="25" spans="1:22" ht="19.5">
      <c r="A25" s="1"/>
      <c r="B25" s="2"/>
      <c r="C25" s="119" t="s">
        <v>32</v>
      </c>
      <c r="D25" s="61" t="s">
        <v>23</v>
      </c>
      <c r="E25" s="8">
        <v>3</v>
      </c>
      <c r="F25" s="61" t="s">
        <v>11</v>
      </c>
      <c r="G25" s="8">
        <v>1</v>
      </c>
      <c r="H25" s="62" t="s">
        <v>33</v>
      </c>
      <c r="I25" s="8">
        <v>3</v>
      </c>
      <c r="J25" s="61" t="s">
        <v>34</v>
      </c>
      <c r="K25" s="8">
        <v>3</v>
      </c>
      <c r="L25" s="62" t="s">
        <v>35</v>
      </c>
      <c r="M25" s="8">
        <v>9</v>
      </c>
      <c r="N25" s="62" t="s">
        <v>36</v>
      </c>
      <c r="O25" s="8">
        <v>3</v>
      </c>
      <c r="P25" s="105">
        <f>20+6+12</f>
        <v>38</v>
      </c>
      <c r="Q25" s="107"/>
      <c r="R25" s="80">
        <f t="shared" ref="R25" si="3">Q25+P25</f>
        <v>38</v>
      </c>
      <c r="S25" s="110">
        <v>1808</v>
      </c>
      <c r="T25" s="98">
        <f>S25+R25</f>
        <v>1846</v>
      </c>
      <c r="U25" s="3"/>
      <c r="V25" s="3"/>
    </row>
    <row r="26" spans="1:22" ht="19.5">
      <c r="A26" s="1"/>
      <c r="B26" s="2"/>
      <c r="C26" s="120"/>
      <c r="D26" s="169"/>
      <c r="E26" s="8">
        <v>1</v>
      </c>
      <c r="F26" s="169"/>
      <c r="G26" s="8">
        <v>3</v>
      </c>
      <c r="H26" s="63"/>
      <c r="I26" s="8">
        <v>4</v>
      </c>
      <c r="J26" s="169"/>
      <c r="K26" s="8">
        <v>7</v>
      </c>
      <c r="L26" s="63"/>
      <c r="M26" s="8">
        <v>5</v>
      </c>
      <c r="N26" s="63"/>
      <c r="O26" s="8">
        <v>2</v>
      </c>
      <c r="P26" s="75"/>
      <c r="Q26" s="78"/>
      <c r="R26" s="81"/>
      <c r="S26" s="84"/>
      <c r="T26" s="87"/>
      <c r="U26" s="3"/>
      <c r="V26" s="3"/>
    </row>
    <row r="27" spans="1:22" ht="19.5">
      <c r="A27" s="1"/>
      <c r="B27" s="2"/>
      <c r="C27" s="121"/>
      <c r="D27" s="169"/>
      <c r="E27" s="9" t="s">
        <v>29</v>
      </c>
      <c r="F27" s="169"/>
      <c r="G27" s="9" t="s">
        <v>20</v>
      </c>
      <c r="H27" s="63"/>
      <c r="I27" s="9" t="s">
        <v>37</v>
      </c>
      <c r="J27" s="169"/>
      <c r="K27" s="9" t="s">
        <v>20</v>
      </c>
      <c r="L27" s="63"/>
      <c r="M27" s="9" t="s">
        <v>18</v>
      </c>
      <c r="N27" s="63"/>
      <c r="O27" s="9" t="s">
        <v>17</v>
      </c>
      <c r="P27" s="76"/>
      <c r="Q27" s="79"/>
      <c r="R27" s="109"/>
      <c r="S27" s="85"/>
      <c r="T27" s="88"/>
      <c r="U27" s="3"/>
      <c r="V27" s="3"/>
    </row>
    <row r="28" spans="1:22" ht="19.5">
      <c r="A28" s="1"/>
      <c r="B28" s="2"/>
      <c r="C28" s="29" t="s">
        <v>39</v>
      </c>
      <c r="D28" s="26" t="s">
        <v>10</v>
      </c>
      <c r="E28" s="6">
        <v>1</v>
      </c>
      <c r="F28" s="32" t="s">
        <v>11</v>
      </c>
      <c r="G28" s="6">
        <v>1</v>
      </c>
      <c r="H28" s="55" t="s">
        <v>12</v>
      </c>
      <c r="I28" s="6">
        <v>1</v>
      </c>
      <c r="J28" s="55" t="s">
        <v>25</v>
      </c>
      <c r="K28" s="6">
        <v>6</v>
      </c>
      <c r="L28" s="55" t="s">
        <v>35</v>
      </c>
      <c r="M28" s="6">
        <v>9</v>
      </c>
      <c r="N28" s="55" t="s">
        <v>36</v>
      </c>
      <c r="O28" s="6">
        <v>3</v>
      </c>
      <c r="P28" s="111">
        <f>20+27+6+8</f>
        <v>61</v>
      </c>
      <c r="Q28" s="113"/>
      <c r="R28" s="114">
        <f>Q28+P28</f>
        <v>61</v>
      </c>
      <c r="S28" s="115">
        <v>1747</v>
      </c>
      <c r="T28" s="95">
        <f>S28+R28</f>
        <v>1808</v>
      </c>
      <c r="U28" s="3"/>
      <c r="V28" s="3"/>
    </row>
    <row r="29" spans="1:22" ht="19.5">
      <c r="A29" s="1"/>
      <c r="B29" s="2"/>
      <c r="C29" s="30"/>
      <c r="D29" s="167"/>
      <c r="E29" s="6">
        <v>3</v>
      </c>
      <c r="F29" s="167"/>
      <c r="G29" s="6">
        <v>6</v>
      </c>
      <c r="H29" s="56"/>
      <c r="I29" s="6">
        <v>3</v>
      </c>
      <c r="J29" s="56"/>
      <c r="K29" s="6">
        <v>5</v>
      </c>
      <c r="L29" s="56"/>
      <c r="M29" s="6">
        <v>5</v>
      </c>
      <c r="N29" s="56"/>
      <c r="O29" s="6">
        <v>2</v>
      </c>
      <c r="P29" s="100"/>
      <c r="Q29" s="180"/>
      <c r="R29" s="178"/>
      <c r="S29" s="116"/>
      <c r="T29" s="96"/>
      <c r="U29" s="3"/>
      <c r="V29" s="3"/>
    </row>
    <row r="30" spans="1:22" ht="19.5">
      <c r="A30" s="1"/>
      <c r="B30" s="2"/>
      <c r="C30" s="31"/>
      <c r="D30" s="167"/>
      <c r="E30" s="7" t="s">
        <v>29</v>
      </c>
      <c r="F30" s="167"/>
      <c r="G30" s="7" t="s">
        <v>20</v>
      </c>
      <c r="H30" s="56"/>
      <c r="I30" s="7" t="s">
        <v>16</v>
      </c>
      <c r="J30" s="56"/>
      <c r="K30" s="7" t="s">
        <v>40</v>
      </c>
      <c r="L30" s="56"/>
      <c r="M30" s="10" t="s">
        <v>17</v>
      </c>
      <c r="N30" s="56"/>
      <c r="O30" s="10" t="s">
        <v>16</v>
      </c>
      <c r="P30" s="112"/>
      <c r="Q30" s="180"/>
      <c r="R30" s="178"/>
      <c r="S30" s="117"/>
      <c r="T30" s="118"/>
      <c r="U30" s="3"/>
      <c r="V30" s="3"/>
    </row>
    <row r="31" spans="1:22" ht="19.5">
      <c r="A31" s="1"/>
      <c r="B31" s="2"/>
      <c r="C31" s="70" t="s">
        <v>41</v>
      </c>
      <c r="D31" s="61" t="s">
        <v>23</v>
      </c>
      <c r="E31" s="8">
        <v>3</v>
      </c>
      <c r="F31" s="61" t="s">
        <v>11</v>
      </c>
      <c r="G31" s="8">
        <v>1</v>
      </c>
      <c r="H31" s="62" t="s">
        <v>24</v>
      </c>
      <c r="I31" s="8">
        <v>4</v>
      </c>
      <c r="J31" s="61" t="s">
        <v>25</v>
      </c>
      <c r="K31" s="8">
        <v>6</v>
      </c>
      <c r="L31" s="62" t="s">
        <v>14</v>
      </c>
      <c r="M31" s="8">
        <v>5</v>
      </c>
      <c r="N31" s="62" t="s">
        <v>27</v>
      </c>
      <c r="O31" s="8">
        <v>2</v>
      </c>
      <c r="P31" s="105">
        <f>10+9+6+12</f>
        <v>37</v>
      </c>
      <c r="Q31" s="107"/>
      <c r="R31" s="80">
        <f t="shared" ref="R31" si="4">Q31+P31</f>
        <v>37</v>
      </c>
      <c r="S31" s="110">
        <v>1633</v>
      </c>
      <c r="T31" s="98">
        <f>S31+R31</f>
        <v>1670</v>
      </c>
      <c r="U31" s="3"/>
      <c r="V31" s="3"/>
    </row>
    <row r="32" spans="1:22" ht="19.5">
      <c r="A32" s="1"/>
      <c r="B32" s="2"/>
      <c r="C32" s="70"/>
      <c r="D32" s="169"/>
      <c r="E32" s="8">
        <v>1</v>
      </c>
      <c r="F32" s="169"/>
      <c r="G32" s="8">
        <v>3</v>
      </c>
      <c r="H32" s="63"/>
      <c r="I32" s="8">
        <v>3</v>
      </c>
      <c r="J32" s="169"/>
      <c r="K32" s="8">
        <v>7</v>
      </c>
      <c r="L32" s="63"/>
      <c r="M32" s="8">
        <v>9</v>
      </c>
      <c r="N32" s="63"/>
      <c r="O32" s="8">
        <v>3</v>
      </c>
      <c r="P32" s="75"/>
      <c r="Q32" s="78"/>
      <c r="R32" s="81"/>
      <c r="S32" s="84"/>
      <c r="T32" s="87"/>
      <c r="U32" s="3"/>
      <c r="V32" s="3"/>
    </row>
    <row r="33" spans="1:22" ht="19.5">
      <c r="A33" s="1"/>
      <c r="B33" s="2"/>
      <c r="C33" s="71"/>
      <c r="D33" s="169"/>
      <c r="E33" s="9" t="s">
        <v>16</v>
      </c>
      <c r="F33" s="169"/>
      <c r="G33" s="9" t="s">
        <v>17</v>
      </c>
      <c r="H33" s="63"/>
      <c r="I33" s="9" t="s">
        <v>28</v>
      </c>
      <c r="J33" s="169"/>
      <c r="K33" s="9" t="s">
        <v>29</v>
      </c>
      <c r="L33" s="63"/>
      <c r="M33" s="9" t="s">
        <v>40</v>
      </c>
      <c r="N33" s="63"/>
      <c r="O33" s="9" t="s">
        <v>17</v>
      </c>
      <c r="P33" s="106"/>
      <c r="Q33" s="108"/>
      <c r="R33" s="109"/>
      <c r="S33" s="85"/>
      <c r="T33" s="88"/>
      <c r="U33" s="3"/>
      <c r="V33" s="3"/>
    </row>
    <row r="34" spans="1:22" ht="19.5">
      <c r="A34" s="1"/>
      <c r="B34" s="2"/>
      <c r="C34" s="24" t="s">
        <v>42</v>
      </c>
      <c r="D34" s="26" t="s">
        <v>43</v>
      </c>
      <c r="E34" s="6">
        <v>2</v>
      </c>
      <c r="F34" s="32" t="s">
        <v>11</v>
      </c>
      <c r="G34" s="6">
        <v>1</v>
      </c>
      <c r="H34" s="55" t="s">
        <v>24</v>
      </c>
      <c r="I34" s="6">
        <v>4</v>
      </c>
      <c r="J34" s="32" t="s">
        <v>44</v>
      </c>
      <c r="K34" s="6">
        <v>5</v>
      </c>
      <c r="L34" s="55" t="s">
        <v>14</v>
      </c>
      <c r="M34" s="6">
        <v>5</v>
      </c>
      <c r="N34" s="55" t="s">
        <v>15</v>
      </c>
      <c r="O34" s="6">
        <v>4</v>
      </c>
      <c r="P34" s="99">
        <f>10+5+9+6+4</f>
        <v>34</v>
      </c>
      <c r="Q34" s="102"/>
      <c r="R34" s="89">
        <f t="shared" ref="R34" si="5">Q34+P34</f>
        <v>34</v>
      </c>
      <c r="S34" s="92">
        <v>1579</v>
      </c>
      <c r="T34" s="95">
        <f>S34+R34</f>
        <v>1613</v>
      </c>
      <c r="U34" s="3"/>
      <c r="V34" s="3"/>
    </row>
    <row r="35" spans="1:22" ht="19.5">
      <c r="A35" s="1"/>
      <c r="B35" s="2"/>
      <c r="C35" s="24"/>
      <c r="D35" s="167"/>
      <c r="E35" s="6">
        <v>1</v>
      </c>
      <c r="F35" s="167"/>
      <c r="G35" s="6">
        <v>6</v>
      </c>
      <c r="H35" s="56"/>
      <c r="I35" s="6">
        <v>8</v>
      </c>
      <c r="J35" s="167"/>
      <c r="K35" s="6">
        <v>6</v>
      </c>
      <c r="L35" s="56"/>
      <c r="M35" s="6">
        <v>6</v>
      </c>
      <c r="N35" s="56"/>
      <c r="O35" s="6">
        <v>5</v>
      </c>
      <c r="P35" s="100"/>
      <c r="Q35" s="103"/>
      <c r="R35" s="90"/>
      <c r="S35" s="93"/>
      <c r="T35" s="96"/>
      <c r="U35" s="3"/>
      <c r="V35" s="3"/>
    </row>
    <row r="36" spans="1:22" ht="19.5">
      <c r="A36" s="1"/>
      <c r="B36" s="2"/>
      <c r="C36" s="25"/>
      <c r="D36" s="167"/>
      <c r="E36" s="7" t="s">
        <v>18</v>
      </c>
      <c r="F36" s="167"/>
      <c r="G36" s="7" t="s">
        <v>18</v>
      </c>
      <c r="H36" s="56"/>
      <c r="I36" s="7" t="s">
        <v>18</v>
      </c>
      <c r="J36" s="167"/>
      <c r="K36" s="7" t="s">
        <v>18</v>
      </c>
      <c r="L36" s="56"/>
      <c r="M36" s="7" t="s">
        <v>28</v>
      </c>
      <c r="N36" s="56"/>
      <c r="O36" s="7" t="s">
        <v>29</v>
      </c>
      <c r="P36" s="101"/>
      <c r="Q36" s="104"/>
      <c r="R36" s="91"/>
      <c r="S36" s="94"/>
      <c r="T36" s="97"/>
      <c r="U36" s="3"/>
      <c r="V36" s="3"/>
    </row>
    <row r="37" spans="1:22" ht="19.5">
      <c r="A37" s="1"/>
      <c r="B37" s="2"/>
      <c r="C37" s="59" t="s">
        <v>45</v>
      </c>
      <c r="D37" s="61" t="s">
        <v>10</v>
      </c>
      <c r="E37" s="8">
        <v>1</v>
      </c>
      <c r="F37" s="61" t="s">
        <v>11</v>
      </c>
      <c r="G37" s="8">
        <v>1</v>
      </c>
      <c r="H37" s="62" t="s">
        <v>33</v>
      </c>
      <c r="I37" s="8">
        <v>3</v>
      </c>
      <c r="J37" s="61" t="s">
        <v>13</v>
      </c>
      <c r="K37" s="8">
        <v>7</v>
      </c>
      <c r="L37" s="62" t="s">
        <v>35</v>
      </c>
      <c r="M37" s="8">
        <v>9</v>
      </c>
      <c r="N37" s="62" t="s">
        <v>27</v>
      </c>
      <c r="O37" s="8">
        <v>2</v>
      </c>
      <c r="P37" s="74">
        <f>20+6+8</f>
        <v>34</v>
      </c>
      <c r="Q37" s="77">
        <v>10</v>
      </c>
      <c r="R37" s="80">
        <f t="shared" ref="R37" si="6">Q37+P37</f>
        <v>44</v>
      </c>
      <c r="S37" s="83">
        <v>1465</v>
      </c>
      <c r="T37" s="86">
        <f>S37+R37</f>
        <v>1509</v>
      </c>
      <c r="U37" s="3"/>
      <c r="V37" s="3"/>
    </row>
    <row r="38" spans="1:22" ht="19.5">
      <c r="A38" s="1"/>
      <c r="B38" s="2"/>
      <c r="C38" s="59"/>
      <c r="D38" s="169"/>
      <c r="E38" s="8">
        <v>2</v>
      </c>
      <c r="F38" s="169"/>
      <c r="G38" s="8">
        <v>3</v>
      </c>
      <c r="H38" s="63"/>
      <c r="I38" s="8">
        <v>4</v>
      </c>
      <c r="J38" s="169"/>
      <c r="K38" s="8">
        <v>6</v>
      </c>
      <c r="L38" s="63"/>
      <c r="M38" s="8">
        <v>3</v>
      </c>
      <c r="N38" s="63"/>
      <c r="O38" s="8">
        <v>3</v>
      </c>
      <c r="P38" s="75"/>
      <c r="Q38" s="78"/>
      <c r="R38" s="81"/>
      <c r="S38" s="84"/>
      <c r="T38" s="87"/>
      <c r="U38" s="3"/>
      <c r="V38" s="3"/>
    </row>
    <row r="39" spans="1:22" ht="19.5">
      <c r="A39" s="1"/>
      <c r="B39" s="2"/>
      <c r="C39" s="59"/>
      <c r="D39" s="169"/>
      <c r="E39" s="9" t="s">
        <v>18</v>
      </c>
      <c r="F39" s="169"/>
      <c r="G39" s="9" t="s">
        <v>20</v>
      </c>
      <c r="H39" s="63"/>
      <c r="I39" s="9" t="s">
        <v>37</v>
      </c>
      <c r="J39" s="169"/>
      <c r="K39" s="9" t="s">
        <v>20</v>
      </c>
      <c r="L39" s="63"/>
      <c r="M39" s="9" t="s">
        <v>17</v>
      </c>
      <c r="N39" s="63"/>
      <c r="O39" s="9" t="s">
        <v>16</v>
      </c>
      <c r="P39" s="76"/>
      <c r="Q39" s="79"/>
      <c r="R39" s="82"/>
      <c r="S39" s="85"/>
      <c r="T39" s="88"/>
      <c r="U39" s="3"/>
      <c r="V39" s="3"/>
    </row>
    <row r="40" spans="1:22" ht="22.5">
      <c r="A40" s="1"/>
      <c r="B40" s="2"/>
      <c r="C40" s="12"/>
      <c r="D40" s="13"/>
      <c r="E40" s="14"/>
      <c r="F40" s="13"/>
      <c r="G40" s="14"/>
      <c r="H40" s="13"/>
      <c r="I40" s="14"/>
      <c r="J40" s="13"/>
      <c r="K40" s="14"/>
      <c r="L40" s="13"/>
      <c r="M40" s="14"/>
      <c r="N40" s="14"/>
      <c r="O40" s="14"/>
      <c r="P40" s="15"/>
      <c r="Q40" s="3"/>
      <c r="R40" s="3"/>
      <c r="S40" s="3" t="s">
        <v>64</v>
      </c>
      <c r="T40" s="3"/>
      <c r="U40" s="3"/>
      <c r="V40" s="3"/>
    </row>
    <row r="41" spans="1:22" ht="18.75">
      <c r="A41" s="1"/>
      <c r="B41" s="2"/>
      <c r="C41" s="16" t="s">
        <v>65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"/>
      <c r="Q41" s="3"/>
      <c r="R41" s="3"/>
      <c r="S41" s="3"/>
      <c r="T41" s="3"/>
      <c r="U41" s="3"/>
      <c r="V41" s="3"/>
    </row>
  </sheetData>
  <mergeCells count="128">
    <mergeCell ref="B8:T10"/>
    <mergeCell ref="A11:T11"/>
    <mergeCell ref="B12:C13"/>
    <mergeCell ref="D12:E13"/>
    <mergeCell ref="F12:G13"/>
    <mergeCell ref="H12:I13"/>
    <mergeCell ref="J12:K13"/>
    <mergeCell ref="L12:M13"/>
    <mergeCell ref="N12:O13"/>
    <mergeCell ref="P12:P15"/>
    <mergeCell ref="N14:O14"/>
    <mergeCell ref="T14:T15"/>
    <mergeCell ref="B15:C15"/>
    <mergeCell ref="D15:E15"/>
    <mergeCell ref="F15:G15"/>
    <mergeCell ref="H15:I15"/>
    <mergeCell ref="J15:K15"/>
    <mergeCell ref="L15:M15"/>
    <mergeCell ref="N15:O15"/>
    <mergeCell ref="Q12:Q15"/>
    <mergeCell ref="R12:R15"/>
    <mergeCell ref="S12:S15"/>
    <mergeCell ref="T12:T13"/>
    <mergeCell ref="B14:C14"/>
    <mergeCell ref="D14:E14"/>
    <mergeCell ref="F14:G14"/>
    <mergeCell ref="H14:I14"/>
    <mergeCell ref="J14:K14"/>
    <mergeCell ref="L14:M14"/>
    <mergeCell ref="T16:T18"/>
    <mergeCell ref="B19:B21"/>
    <mergeCell ref="C19:C21"/>
    <mergeCell ref="D19:D21"/>
    <mergeCell ref="F19:F21"/>
    <mergeCell ref="H19:H21"/>
    <mergeCell ref="J19:J21"/>
    <mergeCell ref="L19:L21"/>
    <mergeCell ref="N19:N21"/>
    <mergeCell ref="P19:P21"/>
    <mergeCell ref="L16:L18"/>
    <mergeCell ref="N16:N18"/>
    <mergeCell ref="P16:P18"/>
    <mergeCell ref="Q16:Q18"/>
    <mergeCell ref="R16:R18"/>
    <mergeCell ref="S16:S18"/>
    <mergeCell ref="B16:B18"/>
    <mergeCell ref="C16:C18"/>
    <mergeCell ref="D16:D18"/>
    <mergeCell ref="F16:F18"/>
    <mergeCell ref="H16:H18"/>
    <mergeCell ref="J16:J18"/>
    <mergeCell ref="Q19:Q21"/>
    <mergeCell ref="R19:R21"/>
    <mergeCell ref="S19:S21"/>
    <mergeCell ref="T19:T21"/>
    <mergeCell ref="B22:B24"/>
    <mergeCell ref="C22:C24"/>
    <mergeCell ref="D22:D24"/>
    <mergeCell ref="F22:F24"/>
    <mergeCell ref="H22:H24"/>
    <mergeCell ref="J22:J24"/>
    <mergeCell ref="T22:T24"/>
    <mergeCell ref="C25:C27"/>
    <mergeCell ref="D25:D27"/>
    <mergeCell ref="F25:F27"/>
    <mergeCell ref="H25:H27"/>
    <mergeCell ref="J25:J27"/>
    <mergeCell ref="L25:L27"/>
    <mergeCell ref="N25:N27"/>
    <mergeCell ref="P25:P27"/>
    <mergeCell ref="Q25:Q27"/>
    <mergeCell ref="L22:L24"/>
    <mergeCell ref="N22:N24"/>
    <mergeCell ref="P22:P24"/>
    <mergeCell ref="Q22:Q24"/>
    <mergeCell ref="R22:R24"/>
    <mergeCell ref="S22:S24"/>
    <mergeCell ref="R25:R27"/>
    <mergeCell ref="S25:S27"/>
    <mergeCell ref="T25:T27"/>
    <mergeCell ref="C28:C30"/>
    <mergeCell ref="D28:D30"/>
    <mergeCell ref="F28:F30"/>
    <mergeCell ref="H28:H30"/>
    <mergeCell ref="J28:J30"/>
    <mergeCell ref="L28:L30"/>
    <mergeCell ref="N28:N30"/>
    <mergeCell ref="P28:P30"/>
    <mergeCell ref="Q28:Q30"/>
    <mergeCell ref="R28:R30"/>
    <mergeCell ref="S28:S30"/>
    <mergeCell ref="T28:T30"/>
    <mergeCell ref="C31:C33"/>
    <mergeCell ref="D31:D33"/>
    <mergeCell ref="F31:F33"/>
    <mergeCell ref="H31:H33"/>
    <mergeCell ref="J31:J33"/>
    <mergeCell ref="T31:T33"/>
    <mergeCell ref="C34:C36"/>
    <mergeCell ref="D34:D36"/>
    <mergeCell ref="F34:F36"/>
    <mergeCell ref="H34:H36"/>
    <mergeCell ref="J34:J36"/>
    <mergeCell ref="L34:L36"/>
    <mergeCell ref="N34:N36"/>
    <mergeCell ref="P34:P36"/>
    <mergeCell ref="Q34:Q36"/>
    <mergeCell ref="L31:L33"/>
    <mergeCell ref="N31:N33"/>
    <mergeCell ref="P31:P33"/>
    <mergeCell ref="Q31:Q33"/>
    <mergeCell ref="R31:R33"/>
    <mergeCell ref="S31:S33"/>
    <mergeCell ref="P37:P39"/>
    <mergeCell ref="Q37:Q39"/>
    <mergeCell ref="R37:R39"/>
    <mergeCell ref="S37:S39"/>
    <mergeCell ref="T37:T39"/>
    <mergeCell ref="R34:R36"/>
    <mergeCell ref="S34:S36"/>
    <mergeCell ref="T34:T36"/>
    <mergeCell ref="C37:C39"/>
    <mergeCell ref="D37:D39"/>
    <mergeCell ref="F37:F39"/>
    <mergeCell ref="H37:H39"/>
    <mergeCell ref="J37:J39"/>
    <mergeCell ref="L37:L39"/>
    <mergeCell ref="N37:N3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DEC6-74EC-4DAA-A7F4-42A854726927}">
  <sheetPr>
    <tabColor theme="1"/>
  </sheetPr>
  <dimension ref="A1:AB57"/>
  <sheetViews>
    <sheetView tabSelected="1" workbookViewId="0">
      <selection activeCell="J7" sqref="J7"/>
    </sheetView>
  </sheetViews>
  <sheetFormatPr defaultRowHeight="15"/>
  <cols>
    <col min="2" max="2" width="5.5703125" customWidth="1"/>
    <col min="3" max="3" width="40.140625" bestFit="1" customWidth="1"/>
    <col min="4" max="4" width="26.7109375" customWidth="1"/>
    <col min="5" max="5" width="5.7109375" customWidth="1"/>
    <col min="6" max="6" width="27.85546875" customWidth="1"/>
    <col min="7" max="7" width="5.7109375" customWidth="1"/>
    <col min="8" max="8" width="27.5703125" customWidth="1"/>
    <col min="9" max="9" width="5.85546875" customWidth="1"/>
    <col min="10" max="10" width="27.7109375" customWidth="1"/>
    <col min="11" max="11" width="5.7109375" customWidth="1"/>
    <col min="12" max="12" width="26.5703125" customWidth="1"/>
    <col min="13" max="13" width="5.85546875" customWidth="1"/>
  </cols>
  <sheetData>
    <row r="1" spans="1:19" ht="15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2"/>
      <c r="P1" s="1"/>
      <c r="Q1" s="2"/>
      <c r="R1" s="1"/>
      <c r="S1" s="2"/>
    </row>
    <row r="2" spans="1:19" ht="15.7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2"/>
      <c r="P2" s="1"/>
      <c r="Q2" s="2"/>
      <c r="R2" s="1"/>
      <c r="S2" s="2"/>
    </row>
    <row r="3" spans="1:19" ht="15.7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2"/>
      <c r="P3" s="1"/>
      <c r="Q3" s="2"/>
      <c r="R3" s="1"/>
      <c r="S3" s="2"/>
    </row>
    <row r="4" spans="1:19" ht="15.7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2"/>
      <c r="P4" s="1"/>
      <c r="Q4" s="2"/>
      <c r="R4" s="1"/>
      <c r="S4" s="2"/>
    </row>
    <row r="5" spans="1:19" ht="15.7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2"/>
      <c r="P5" s="1"/>
      <c r="Q5" s="2"/>
      <c r="R5" s="1"/>
      <c r="S5" s="2"/>
    </row>
    <row r="6" spans="1:19" ht="15.7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"/>
      <c r="O6" s="2"/>
      <c r="P6" s="1"/>
      <c r="Q6" s="2"/>
      <c r="R6" s="1"/>
      <c r="S6" s="2"/>
    </row>
    <row r="7" spans="1:19" ht="15.7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/>
      <c r="O7" s="2"/>
      <c r="P7" s="1"/>
      <c r="Q7" s="2"/>
      <c r="R7" s="1"/>
      <c r="S7" s="2"/>
    </row>
    <row r="8" spans="1:19" ht="15.7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"/>
      <c r="O8" s="2"/>
      <c r="P8" s="1"/>
      <c r="Q8" s="2"/>
      <c r="R8" s="1"/>
      <c r="S8" s="2"/>
    </row>
    <row r="9" spans="1:19" ht="15.7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"/>
      <c r="O9" s="2"/>
      <c r="P9" s="1"/>
      <c r="Q9" s="2"/>
      <c r="R9" s="1"/>
      <c r="S9" s="2"/>
    </row>
    <row r="10" spans="1:19" ht="15.7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"/>
      <c r="O10" s="2"/>
      <c r="P10" s="1"/>
      <c r="Q10" s="2"/>
      <c r="R10" s="1"/>
      <c r="S10" s="2"/>
    </row>
    <row r="11" spans="1:19" ht="15.7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"/>
      <c r="O11" s="2"/>
      <c r="P11" s="1"/>
      <c r="Q11" s="2"/>
      <c r="R11" s="1"/>
      <c r="S11" s="2"/>
    </row>
    <row r="12" spans="1:19" ht="15.7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"/>
      <c r="O12" s="2"/>
      <c r="P12" s="1"/>
      <c r="Q12" s="2"/>
      <c r="R12" s="1"/>
      <c r="S12" s="2"/>
    </row>
    <row r="13" spans="1:19" ht="15.75" customHeight="1">
      <c r="A13" s="1"/>
      <c r="B13" s="43" t="s">
        <v>0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1"/>
      <c r="O13" s="2"/>
      <c r="P13" s="1"/>
      <c r="Q13" s="2"/>
      <c r="R13" s="1"/>
      <c r="S13" s="2"/>
    </row>
    <row r="14" spans="1:19" ht="15.75" customHeight="1">
      <c r="A14" s="1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1"/>
      <c r="O14" s="2"/>
      <c r="P14" s="1"/>
      <c r="Q14" s="2"/>
      <c r="R14" s="1"/>
      <c r="S14" s="2"/>
    </row>
    <row r="15" spans="1:19" ht="15.75" customHeight="1">
      <c r="A15" s="1"/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1"/>
      <c r="O15" s="2"/>
      <c r="P15" s="1"/>
      <c r="Q15" s="2"/>
      <c r="R15" s="1"/>
      <c r="S15" s="2"/>
    </row>
    <row r="16" spans="1:19" ht="15.75">
      <c r="A16" s="157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"/>
      <c r="O16" s="2"/>
      <c r="P16" s="1"/>
      <c r="Q16" s="2"/>
      <c r="R16" s="1"/>
      <c r="S16" s="2"/>
    </row>
    <row r="17" spans="1:19" ht="15.75" customHeight="1">
      <c r="A17" s="1"/>
      <c r="B17" s="49" t="s">
        <v>1</v>
      </c>
      <c r="C17" s="181"/>
      <c r="D17" s="49" t="s">
        <v>2</v>
      </c>
      <c r="E17" s="182"/>
      <c r="F17" s="50" t="s">
        <v>3</v>
      </c>
      <c r="G17" s="182"/>
      <c r="H17" s="50" t="s">
        <v>4</v>
      </c>
      <c r="I17" s="182"/>
      <c r="J17" s="50" t="s">
        <v>5</v>
      </c>
      <c r="K17" s="182"/>
      <c r="L17" s="50" t="s">
        <v>6</v>
      </c>
      <c r="M17" s="182"/>
      <c r="N17" s="1"/>
      <c r="O17" s="2"/>
      <c r="P17" s="1"/>
      <c r="Q17" s="2"/>
      <c r="R17" s="1"/>
      <c r="S17" s="2"/>
    </row>
    <row r="18" spans="1:19" ht="15.75">
      <c r="A18" s="5"/>
      <c r="B18" s="183"/>
      <c r="C18" s="184"/>
      <c r="D18" s="185"/>
      <c r="E18" s="186"/>
      <c r="F18" s="187"/>
      <c r="G18" s="186"/>
      <c r="H18" s="187"/>
      <c r="I18" s="186"/>
      <c r="J18" s="187"/>
      <c r="K18" s="186"/>
      <c r="L18" s="187"/>
      <c r="M18" s="186"/>
      <c r="N18" s="1"/>
      <c r="O18" s="2"/>
      <c r="P18" s="1"/>
      <c r="Q18" s="2"/>
      <c r="R18" s="1"/>
      <c r="S18" s="2"/>
    </row>
    <row r="19" spans="1:19" ht="19.5" customHeight="1">
      <c r="A19" s="1"/>
      <c r="B19" s="41" t="s">
        <v>8</v>
      </c>
      <c r="C19" s="42" t="s">
        <v>9</v>
      </c>
      <c r="D19" s="26" t="s">
        <v>66</v>
      </c>
      <c r="E19" s="6">
        <v>2</v>
      </c>
      <c r="F19" s="26" t="s">
        <v>67</v>
      </c>
      <c r="G19" s="6">
        <v>5</v>
      </c>
      <c r="H19" s="26" t="s">
        <v>68</v>
      </c>
      <c r="I19" s="6">
        <v>1</v>
      </c>
      <c r="J19" s="26" t="s">
        <v>69</v>
      </c>
      <c r="K19" s="6">
        <v>1</v>
      </c>
      <c r="L19" s="26" t="s">
        <v>70</v>
      </c>
      <c r="M19" s="6">
        <v>2</v>
      </c>
      <c r="N19" s="1"/>
      <c r="O19" s="2"/>
      <c r="P19" s="1"/>
      <c r="Q19" s="2"/>
      <c r="R19" s="1"/>
      <c r="S19" s="2"/>
    </row>
    <row r="20" spans="1:19" ht="19.5" customHeight="1">
      <c r="A20" s="1"/>
      <c r="B20" s="188"/>
      <c r="C20" s="42"/>
      <c r="D20" s="167"/>
      <c r="E20" s="6">
        <v>3</v>
      </c>
      <c r="F20" s="167"/>
      <c r="G20" s="6">
        <v>2</v>
      </c>
      <c r="H20" s="167"/>
      <c r="I20" s="6">
        <v>4</v>
      </c>
      <c r="J20" s="167"/>
      <c r="K20" s="6">
        <v>2</v>
      </c>
      <c r="L20" s="167"/>
      <c r="M20" s="6">
        <v>4</v>
      </c>
      <c r="N20" s="1"/>
      <c r="O20" s="2"/>
      <c r="P20" s="1"/>
      <c r="Q20" s="2"/>
      <c r="R20" s="1"/>
      <c r="S20" s="2"/>
    </row>
    <row r="21" spans="1:19" ht="19.5" customHeight="1">
      <c r="A21" s="1"/>
      <c r="B21" s="189"/>
      <c r="C21" s="42"/>
      <c r="D21" s="167"/>
      <c r="E21" s="7" t="s">
        <v>16</v>
      </c>
      <c r="F21" s="167"/>
      <c r="G21" s="7" t="s">
        <v>18</v>
      </c>
      <c r="H21" s="167"/>
      <c r="I21" s="7" t="s">
        <v>20</v>
      </c>
      <c r="J21" s="167"/>
      <c r="K21" s="7" t="s">
        <v>37</v>
      </c>
      <c r="L21" s="167"/>
      <c r="M21" s="7" t="s">
        <v>40</v>
      </c>
      <c r="N21" s="1"/>
      <c r="O21" s="2"/>
      <c r="P21" s="1"/>
      <c r="Q21" s="2"/>
      <c r="R21" s="1"/>
      <c r="S21" s="2"/>
    </row>
    <row r="22" spans="1:19" ht="19.5" customHeight="1">
      <c r="A22" s="1"/>
      <c r="B22" s="37" t="s">
        <v>21</v>
      </c>
      <c r="C22" s="39" t="s">
        <v>38</v>
      </c>
      <c r="D22" s="36" t="s">
        <v>71</v>
      </c>
      <c r="E22" s="18">
        <v>1</v>
      </c>
      <c r="F22" s="36" t="s">
        <v>72</v>
      </c>
      <c r="G22" s="18">
        <v>2</v>
      </c>
      <c r="H22" s="36" t="s">
        <v>68</v>
      </c>
      <c r="I22" s="18">
        <v>1</v>
      </c>
      <c r="J22" s="36" t="s">
        <v>69</v>
      </c>
      <c r="K22" s="18">
        <v>1</v>
      </c>
      <c r="L22" s="36" t="s">
        <v>73</v>
      </c>
      <c r="M22" s="18">
        <v>4</v>
      </c>
      <c r="N22" s="1"/>
      <c r="O22" s="2"/>
      <c r="P22" s="1"/>
      <c r="Q22" s="2"/>
      <c r="R22" s="1"/>
      <c r="S22" s="2"/>
    </row>
    <row r="23" spans="1:19" ht="19.5" customHeight="1">
      <c r="A23" s="1"/>
      <c r="B23" s="188"/>
      <c r="C23" s="22"/>
      <c r="D23" s="190"/>
      <c r="E23" s="18">
        <v>3</v>
      </c>
      <c r="F23" s="190"/>
      <c r="G23" s="18">
        <v>1</v>
      </c>
      <c r="H23" s="190"/>
      <c r="I23" s="18">
        <v>4</v>
      </c>
      <c r="J23" s="190"/>
      <c r="K23" s="18">
        <v>6</v>
      </c>
      <c r="L23" s="190"/>
      <c r="M23" s="18">
        <v>2</v>
      </c>
      <c r="N23" s="1"/>
      <c r="O23" s="2"/>
      <c r="P23" s="1"/>
      <c r="Q23" s="2"/>
      <c r="R23" s="1"/>
      <c r="S23" s="2"/>
    </row>
    <row r="24" spans="1:19" ht="19.5" customHeight="1">
      <c r="A24" s="1"/>
      <c r="B24" s="189"/>
      <c r="C24" s="40"/>
      <c r="D24" s="190"/>
      <c r="E24" s="19" t="s">
        <v>29</v>
      </c>
      <c r="F24" s="190"/>
      <c r="G24" s="19" t="s">
        <v>20</v>
      </c>
      <c r="H24" s="190"/>
      <c r="I24" s="19" t="s">
        <v>29</v>
      </c>
      <c r="J24" s="190"/>
      <c r="K24" s="19" t="s">
        <v>29</v>
      </c>
      <c r="L24" s="190"/>
      <c r="M24" s="19" t="s">
        <v>37</v>
      </c>
      <c r="N24" s="1"/>
      <c r="O24" s="2"/>
      <c r="P24" s="1"/>
      <c r="Q24" s="2"/>
      <c r="R24" s="1"/>
      <c r="S24" s="2"/>
    </row>
    <row r="25" spans="1:19" ht="19.5" customHeight="1">
      <c r="A25" s="1"/>
      <c r="B25" s="37" t="s">
        <v>31</v>
      </c>
      <c r="C25" s="38" t="s">
        <v>22</v>
      </c>
      <c r="D25" s="32" t="s">
        <v>66</v>
      </c>
      <c r="E25" s="6">
        <v>2</v>
      </c>
      <c r="F25" s="32" t="s">
        <v>74</v>
      </c>
      <c r="G25" s="6">
        <v>1</v>
      </c>
      <c r="H25" s="32" t="s">
        <v>75</v>
      </c>
      <c r="I25" s="6">
        <v>4</v>
      </c>
      <c r="J25" s="32" t="s">
        <v>76</v>
      </c>
      <c r="K25" s="6">
        <v>7</v>
      </c>
      <c r="L25" s="32" t="s">
        <v>70</v>
      </c>
      <c r="M25" s="6">
        <v>2</v>
      </c>
      <c r="N25" s="1"/>
      <c r="O25" s="2"/>
      <c r="P25" s="1"/>
      <c r="Q25" s="2"/>
      <c r="R25" s="1"/>
      <c r="S25" s="2"/>
    </row>
    <row r="26" spans="1:19" ht="19.5" customHeight="1">
      <c r="A26" s="1"/>
      <c r="B26" s="188"/>
      <c r="C26" s="24"/>
      <c r="D26" s="167"/>
      <c r="E26" s="6">
        <v>1</v>
      </c>
      <c r="F26" s="167"/>
      <c r="G26" s="6">
        <v>2</v>
      </c>
      <c r="H26" s="167"/>
      <c r="I26" s="6">
        <v>5</v>
      </c>
      <c r="J26" s="167"/>
      <c r="K26" s="6">
        <v>8</v>
      </c>
      <c r="L26" s="167"/>
      <c r="M26" s="6">
        <v>4</v>
      </c>
      <c r="N26" s="1"/>
      <c r="O26" s="2"/>
      <c r="P26" s="1"/>
      <c r="Q26" s="2"/>
      <c r="R26" s="1"/>
      <c r="S26" s="2"/>
    </row>
    <row r="27" spans="1:19" ht="19.5" customHeight="1">
      <c r="A27" s="1"/>
      <c r="B27" s="189"/>
      <c r="C27" s="24"/>
      <c r="D27" s="167"/>
      <c r="E27" s="7" t="s">
        <v>18</v>
      </c>
      <c r="F27" s="167"/>
      <c r="G27" s="7" t="s">
        <v>20</v>
      </c>
      <c r="H27" s="167"/>
      <c r="I27" s="7" t="s">
        <v>28</v>
      </c>
      <c r="J27" s="167"/>
      <c r="K27" s="7" t="s">
        <v>19</v>
      </c>
      <c r="L27" s="167"/>
      <c r="M27" s="7" t="s">
        <v>18</v>
      </c>
      <c r="N27" s="1"/>
      <c r="O27" s="2"/>
      <c r="P27" s="1"/>
      <c r="Q27" s="2"/>
      <c r="R27" s="1"/>
      <c r="S27" s="2"/>
    </row>
    <row r="28" spans="1:19" ht="19.5" customHeight="1">
      <c r="A28" s="1"/>
      <c r="B28" s="2"/>
      <c r="C28" s="33" t="s">
        <v>32</v>
      </c>
      <c r="D28" s="36" t="s">
        <v>71</v>
      </c>
      <c r="E28" s="18">
        <v>1</v>
      </c>
      <c r="F28" s="36" t="s">
        <v>74</v>
      </c>
      <c r="G28" s="18">
        <v>1</v>
      </c>
      <c r="H28" s="36" t="s">
        <v>75</v>
      </c>
      <c r="I28" s="18">
        <v>4</v>
      </c>
      <c r="J28" s="36" t="s">
        <v>77</v>
      </c>
      <c r="K28" s="18">
        <v>2</v>
      </c>
      <c r="L28" s="36" t="s">
        <v>78</v>
      </c>
      <c r="M28" s="18">
        <v>3</v>
      </c>
      <c r="N28" s="1"/>
      <c r="O28" s="2"/>
      <c r="P28" s="1"/>
      <c r="Q28" s="2"/>
      <c r="R28" s="1"/>
      <c r="S28" s="2"/>
    </row>
    <row r="29" spans="1:19" ht="19.5" customHeight="1">
      <c r="A29" s="1"/>
      <c r="B29" s="2"/>
      <c r="C29" s="34"/>
      <c r="D29" s="190"/>
      <c r="E29" s="18">
        <v>3</v>
      </c>
      <c r="F29" s="190"/>
      <c r="G29" s="18">
        <v>2</v>
      </c>
      <c r="H29" s="190"/>
      <c r="I29" s="18">
        <v>1</v>
      </c>
      <c r="J29" s="190"/>
      <c r="K29" s="18">
        <v>6</v>
      </c>
      <c r="L29" s="190"/>
      <c r="M29" s="18">
        <v>1</v>
      </c>
      <c r="N29" s="1"/>
      <c r="O29" s="2"/>
      <c r="P29" s="1"/>
      <c r="Q29" s="2"/>
      <c r="R29" s="1"/>
      <c r="S29" s="2"/>
    </row>
    <row r="30" spans="1:19" ht="19.5" customHeight="1">
      <c r="A30" s="1"/>
      <c r="B30" s="2"/>
      <c r="C30" s="35"/>
      <c r="D30" s="190"/>
      <c r="E30" s="19" t="s">
        <v>29</v>
      </c>
      <c r="F30" s="190"/>
      <c r="G30" s="19" t="s">
        <v>20</v>
      </c>
      <c r="H30" s="190"/>
      <c r="I30" s="19" t="s">
        <v>20</v>
      </c>
      <c r="J30" s="190"/>
      <c r="K30" s="19" t="s">
        <v>37</v>
      </c>
      <c r="L30" s="190"/>
      <c r="M30" s="19" t="s">
        <v>20</v>
      </c>
      <c r="N30" s="1"/>
      <c r="O30" s="2"/>
      <c r="P30" s="1"/>
      <c r="Q30" s="2"/>
      <c r="R30" s="1"/>
      <c r="S30" s="2"/>
    </row>
    <row r="31" spans="1:19" ht="19.5" customHeight="1">
      <c r="A31" s="1"/>
      <c r="B31" s="2"/>
      <c r="C31" s="29" t="s">
        <v>39</v>
      </c>
      <c r="D31" s="26" t="s">
        <v>79</v>
      </c>
      <c r="E31" s="6">
        <v>3</v>
      </c>
      <c r="F31" s="26" t="s">
        <v>74</v>
      </c>
      <c r="G31" s="6">
        <v>1</v>
      </c>
      <c r="H31" s="26" t="s">
        <v>75</v>
      </c>
      <c r="I31" s="6">
        <v>4</v>
      </c>
      <c r="J31" s="26" t="s">
        <v>77</v>
      </c>
      <c r="K31" s="6">
        <v>2</v>
      </c>
      <c r="L31" s="26" t="s">
        <v>80</v>
      </c>
      <c r="M31" s="6">
        <v>9</v>
      </c>
      <c r="N31" s="1"/>
      <c r="O31" s="2"/>
      <c r="P31" s="1"/>
      <c r="Q31" s="2"/>
      <c r="R31" s="1"/>
      <c r="S31" s="2"/>
    </row>
    <row r="32" spans="1:19" ht="19.5" customHeight="1">
      <c r="A32" s="1"/>
      <c r="B32" s="2"/>
      <c r="C32" s="30"/>
      <c r="D32" s="167"/>
      <c r="E32" s="6">
        <v>1</v>
      </c>
      <c r="F32" s="167"/>
      <c r="G32" s="6">
        <v>2</v>
      </c>
      <c r="H32" s="167"/>
      <c r="I32" s="6">
        <v>1</v>
      </c>
      <c r="J32" s="167"/>
      <c r="K32" s="6">
        <v>6</v>
      </c>
      <c r="L32" s="167"/>
      <c r="M32" s="6">
        <v>1</v>
      </c>
      <c r="N32" s="1"/>
      <c r="O32" s="2"/>
      <c r="P32" s="1"/>
      <c r="Q32" s="2"/>
      <c r="R32" s="1"/>
      <c r="S32" s="2"/>
    </row>
    <row r="33" spans="1:28" ht="19.5" customHeight="1">
      <c r="A33" s="1"/>
      <c r="B33" s="2"/>
      <c r="C33" s="31"/>
      <c r="D33" s="167"/>
      <c r="E33" s="7" t="s">
        <v>29</v>
      </c>
      <c r="F33" s="167"/>
      <c r="G33" s="7" t="s">
        <v>20</v>
      </c>
      <c r="H33" s="167"/>
      <c r="I33" s="7" t="s">
        <v>20</v>
      </c>
      <c r="J33" s="167"/>
      <c r="K33" s="7" t="s">
        <v>40</v>
      </c>
      <c r="L33" s="167"/>
      <c r="M33" s="7" t="s">
        <v>37</v>
      </c>
      <c r="N33" s="1"/>
      <c r="O33" s="2"/>
      <c r="P33" s="1"/>
      <c r="Q33" s="2"/>
      <c r="R33" s="1"/>
      <c r="S33" s="2"/>
    </row>
    <row r="34" spans="1:28" ht="19.5" customHeight="1">
      <c r="A34" s="1"/>
      <c r="B34" s="2"/>
      <c r="C34" s="27" t="s">
        <v>41</v>
      </c>
      <c r="D34" s="23" t="s">
        <v>79</v>
      </c>
      <c r="E34" s="18">
        <v>3</v>
      </c>
      <c r="F34" s="23" t="s">
        <v>74</v>
      </c>
      <c r="G34" s="18">
        <v>1</v>
      </c>
      <c r="H34" s="23" t="s">
        <v>75</v>
      </c>
      <c r="I34" s="18">
        <v>4</v>
      </c>
      <c r="J34" s="23" t="s">
        <v>77</v>
      </c>
      <c r="K34" s="18">
        <v>2</v>
      </c>
      <c r="L34" s="23" t="s">
        <v>70</v>
      </c>
      <c r="M34" s="18">
        <v>2</v>
      </c>
      <c r="N34" s="1"/>
      <c r="O34" s="2"/>
      <c r="P34" s="1"/>
      <c r="Q34" s="2"/>
      <c r="R34" s="1"/>
      <c r="S34" s="2"/>
    </row>
    <row r="35" spans="1:28" ht="19.5" customHeight="1">
      <c r="A35" s="1"/>
      <c r="B35" s="2"/>
      <c r="C35" s="27"/>
      <c r="D35" s="190"/>
      <c r="E35" s="18">
        <v>1</v>
      </c>
      <c r="F35" s="190"/>
      <c r="G35" s="18">
        <v>2</v>
      </c>
      <c r="H35" s="190"/>
      <c r="I35" s="18">
        <v>1</v>
      </c>
      <c r="J35" s="190"/>
      <c r="K35" s="18">
        <v>6</v>
      </c>
      <c r="L35" s="190"/>
      <c r="M35" s="18">
        <v>1</v>
      </c>
      <c r="N35" s="1"/>
      <c r="O35" s="2"/>
      <c r="P35" s="1"/>
      <c r="Q35" s="2"/>
      <c r="R35" s="1"/>
      <c r="S35" s="2"/>
    </row>
    <row r="36" spans="1:28" ht="19.5" customHeight="1">
      <c r="A36" s="1"/>
      <c r="B36" s="2"/>
      <c r="C36" s="28"/>
      <c r="D36" s="190"/>
      <c r="E36" s="19" t="s">
        <v>29</v>
      </c>
      <c r="F36" s="190"/>
      <c r="G36" s="19" t="s">
        <v>20</v>
      </c>
      <c r="H36" s="190"/>
      <c r="I36" s="19" t="s">
        <v>20</v>
      </c>
      <c r="J36" s="190"/>
      <c r="K36" s="19" t="s">
        <v>40</v>
      </c>
      <c r="L36" s="190"/>
      <c r="M36" s="19" t="s">
        <v>18</v>
      </c>
      <c r="N36" s="1"/>
      <c r="O36" s="2"/>
      <c r="P36" s="1"/>
      <c r="Q36" s="2"/>
      <c r="R36" s="1"/>
      <c r="S36" s="2"/>
    </row>
    <row r="37" spans="1:28" ht="19.5" customHeight="1">
      <c r="A37" s="1"/>
      <c r="B37" s="2"/>
      <c r="C37" s="24" t="s">
        <v>42</v>
      </c>
      <c r="D37" s="26" t="s">
        <v>66</v>
      </c>
      <c r="E37" s="6">
        <v>2</v>
      </c>
      <c r="F37" s="26" t="s">
        <v>72</v>
      </c>
      <c r="G37" s="6">
        <v>2</v>
      </c>
      <c r="H37" s="26" t="s">
        <v>68</v>
      </c>
      <c r="I37" s="6">
        <v>1</v>
      </c>
      <c r="J37" s="26" t="s">
        <v>77</v>
      </c>
      <c r="K37" s="6">
        <v>2</v>
      </c>
      <c r="L37" s="26" t="s">
        <v>81</v>
      </c>
      <c r="M37" s="6">
        <v>6</v>
      </c>
      <c r="N37" s="1"/>
      <c r="O37" s="2"/>
      <c r="P37" s="1"/>
      <c r="Q37" s="2"/>
      <c r="R37" s="1"/>
      <c r="S37" s="2"/>
    </row>
    <row r="38" spans="1:28" ht="19.5" customHeight="1">
      <c r="A38" s="1"/>
      <c r="B38" s="2"/>
      <c r="C38" s="24"/>
      <c r="D38" s="167"/>
      <c r="E38" s="6">
        <v>1</v>
      </c>
      <c r="F38" s="167"/>
      <c r="G38" s="6">
        <v>5</v>
      </c>
      <c r="H38" s="167"/>
      <c r="I38" s="6">
        <v>4</v>
      </c>
      <c r="J38" s="167"/>
      <c r="K38" s="6">
        <v>3</v>
      </c>
      <c r="L38" s="167"/>
      <c r="M38" s="6">
        <v>2</v>
      </c>
      <c r="N38" s="1"/>
      <c r="O38" s="2"/>
      <c r="P38" s="1"/>
      <c r="Q38" s="2"/>
      <c r="R38" s="1"/>
      <c r="S38" s="2"/>
    </row>
    <row r="39" spans="1:28" ht="19.5" customHeight="1">
      <c r="A39" s="1"/>
      <c r="B39" s="2"/>
      <c r="C39" s="25"/>
      <c r="D39" s="167"/>
      <c r="E39" s="7" t="s">
        <v>18</v>
      </c>
      <c r="F39" s="167"/>
      <c r="G39" s="7" t="s">
        <v>28</v>
      </c>
      <c r="H39" s="167"/>
      <c r="I39" s="7" t="s">
        <v>20</v>
      </c>
      <c r="J39" s="167"/>
      <c r="K39" s="7" t="s">
        <v>28</v>
      </c>
      <c r="L39" s="167"/>
      <c r="M39" s="7" t="s">
        <v>19</v>
      </c>
      <c r="N39" s="1"/>
      <c r="O39" s="2"/>
      <c r="P39" s="1"/>
      <c r="Q39" s="2"/>
      <c r="R39" s="1"/>
      <c r="S39" s="2"/>
    </row>
    <row r="40" spans="1:28" ht="19.5" customHeight="1">
      <c r="A40" s="1"/>
      <c r="B40" s="2"/>
      <c r="C40" s="22" t="s">
        <v>45</v>
      </c>
      <c r="D40" s="23" t="s">
        <v>79</v>
      </c>
      <c r="E40" s="18">
        <v>3</v>
      </c>
      <c r="F40" s="23" t="s">
        <v>67</v>
      </c>
      <c r="G40" s="18">
        <v>5</v>
      </c>
      <c r="H40" s="23" t="s">
        <v>75</v>
      </c>
      <c r="I40" s="18">
        <v>4</v>
      </c>
      <c r="J40" s="23" t="s">
        <v>82</v>
      </c>
      <c r="K40" s="18">
        <v>8</v>
      </c>
      <c r="L40" s="23" t="s">
        <v>80</v>
      </c>
      <c r="M40" s="18">
        <v>9</v>
      </c>
      <c r="N40" s="1"/>
      <c r="O40" s="2"/>
      <c r="P40" s="1"/>
      <c r="Q40" s="2"/>
      <c r="R40" s="1"/>
      <c r="S40" s="2"/>
    </row>
    <row r="41" spans="1:28" ht="19.5" customHeight="1">
      <c r="A41" s="1"/>
      <c r="B41" s="2"/>
      <c r="C41" s="22"/>
      <c r="D41" s="190"/>
      <c r="E41" s="18">
        <v>1</v>
      </c>
      <c r="F41" s="190"/>
      <c r="G41" s="18">
        <v>2</v>
      </c>
      <c r="H41" s="190"/>
      <c r="I41" s="18">
        <v>1</v>
      </c>
      <c r="J41" s="190"/>
      <c r="K41" s="18">
        <v>9</v>
      </c>
      <c r="L41" s="190"/>
      <c r="M41" s="18">
        <v>8</v>
      </c>
      <c r="N41" s="1"/>
      <c r="O41" s="2"/>
      <c r="P41" s="1"/>
      <c r="Q41" s="2"/>
      <c r="R41" s="1"/>
      <c r="S41" s="2"/>
    </row>
    <row r="42" spans="1:28" ht="19.5" customHeight="1">
      <c r="A42" s="1"/>
      <c r="B42" s="2"/>
      <c r="C42" s="22"/>
      <c r="D42" s="190"/>
      <c r="E42" s="19" t="s">
        <v>29</v>
      </c>
      <c r="F42" s="190"/>
      <c r="G42" s="19" t="s">
        <v>28</v>
      </c>
      <c r="H42" s="190"/>
      <c r="I42" s="19" t="s">
        <v>20</v>
      </c>
      <c r="J42" s="190"/>
      <c r="K42" s="19" t="s">
        <v>29</v>
      </c>
      <c r="L42" s="190"/>
      <c r="M42" s="19" t="s">
        <v>18</v>
      </c>
      <c r="N42" s="1"/>
      <c r="O42" s="2"/>
      <c r="P42" s="1"/>
      <c r="Q42" s="2"/>
      <c r="R42" s="1"/>
      <c r="S42" s="2"/>
    </row>
    <row r="43" spans="1:28" ht="21">
      <c r="A43" s="1"/>
      <c r="B43" s="2"/>
      <c r="C43" s="11"/>
      <c r="D43" s="20" t="s">
        <v>46</v>
      </c>
      <c r="E43" s="191"/>
      <c r="F43" s="21" t="s">
        <v>83</v>
      </c>
      <c r="G43" s="191"/>
      <c r="H43" s="21" t="s">
        <v>84</v>
      </c>
      <c r="I43" s="191"/>
      <c r="J43" s="21" t="s">
        <v>59</v>
      </c>
      <c r="K43" s="191"/>
      <c r="L43" s="21" t="s">
        <v>85</v>
      </c>
      <c r="M43" s="191"/>
      <c r="N43" s="1"/>
      <c r="O43" s="2"/>
      <c r="P43" s="1"/>
      <c r="Q43" s="2"/>
      <c r="R43" s="1"/>
      <c r="S43" s="2"/>
    </row>
    <row r="44" spans="1:28" ht="15.7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2"/>
      <c r="P44" s="1"/>
      <c r="Q44" s="2"/>
      <c r="R44" s="1"/>
      <c r="S44" s="2"/>
      <c r="T44" s="2"/>
      <c r="U44" s="2"/>
      <c r="V44" s="2"/>
      <c r="W44" s="2"/>
      <c r="X44" s="2"/>
      <c r="Y44" s="2"/>
      <c r="Z44" s="2"/>
      <c r="AA44" s="3"/>
      <c r="AB44" s="3"/>
    </row>
    <row r="45" spans="1:28" ht="15.7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2"/>
      <c r="P45" s="1"/>
      <c r="Q45" s="2"/>
      <c r="R45" s="1"/>
      <c r="S45" s="2"/>
      <c r="T45" s="2"/>
      <c r="U45" s="2"/>
      <c r="V45" s="2"/>
      <c r="W45" s="2"/>
      <c r="X45" s="2"/>
      <c r="Y45" s="2"/>
      <c r="Z45" s="2"/>
      <c r="AA45" s="3"/>
      <c r="AB45" s="3"/>
    </row>
    <row r="46" spans="1:28" ht="15.7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2"/>
      <c r="P46" s="1"/>
      <c r="Q46" s="2"/>
      <c r="R46" s="1"/>
      <c r="S46" s="2"/>
      <c r="T46" s="2"/>
      <c r="U46" s="2"/>
      <c r="V46" s="2"/>
      <c r="W46" s="2"/>
      <c r="X46" s="2"/>
      <c r="Y46" s="2"/>
      <c r="Z46" s="2"/>
      <c r="AA46" s="3"/>
      <c r="AB46" s="3"/>
    </row>
    <row r="47" spans="1:28" ht="15.7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2"/>
      <c r="P47" s="1"/>
      <c r="Q47" s="2"/>
      <c r="R47" s="1"/>
      <c r="S47" s="2"/>
      <c r="T47" s="2"/>
      <c r="U47" s="2"/>
      <c r="V47" s="2"/>
      <c r="W47" s="2"/>
      <c r="X47" s="2"/>
      <c r="Y47" s="2"/>
      <c r="Z47" s="2"/>
      <c r="AA47" s="3"/>
      <c r="AB47" s="3"/>
    </row>
    <row r="48" spans="1:28" ht="15.7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2"/>
      <c r="P48" s="1"/>
      <c r="Q48" s="2"/>
      <c r="R48" s="1"/>
      <c r="S48" s="2"/>
      <c r="T48" s="2"/>
      <c r="U48" s="2"/>
      <c r="V48" s="2"/>
      <c r="W48" s="2"/>
      <c r="X48" s="2"/>
      <c r="Y48" s="2"/>
      <c r="Z48" s="2"/>
      <c r="AA48" s="3"/>
      <c r="AB48" s="3"/>
    </row>
    <row r="49" spans="1:28" ht="15.7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2"/>
      <c r="P49" s="1"/>
      <c r="Q49" s="2"/>
      <c r="R49" s="1"/>
      <c r="S49" s="2"/>
      <c r="T49" s="2"/>
      <c r="U49" s="2"/>
      <c r="V49" s="2"/>
      <c r="W49" s="2"/>
      <c r="X49" s="2"/>
      <c r="Y49" s="2"/>
      <c r="Z49" s="2"/>
      <c r="AA49" s="3"/>
      <c r="AB49" s="3"/>
    </row>
    <row r="50" spans="1:28" ht="15.7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  <c r="O50" s="2"/>
      <c r="P50" s="1"/>
      <c r="Q50" s="2"/>
      <c r="R50" s="1"/>
      <c r="S50" s="2"/>
      <c r="T50" s="2"/>
      <c r="U50" s="2"/>
      <c r="V50" s="2"/>
      <c r="W50" s="2"/>
      <c r="X50" s="2"/>
      <c r="Y50" s="2"/>
      <c r="Z50" s="2"/>
      <c r="AA50" s="3"/>
      <c r="AB50" s="3"/>
    </row>
    <row r="51" spans="1:28" ht="15.7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  <c r="O51" s="2"/>
      <c r="P51" s="1"/>
      <c r="Q51" s="2"/>
      <c r="R51" s="1"/>
      <c r="S51" s="2"/>
      <c r="T51" s="2"/>
      <c r="U51" s="2"/>
      <c r="V51" s="2"/>
      <c r="W51" s="2"/>
      <c r="X51" s="2"/>
      <c r="Y51" s="2"/>
      <c r="Z51" s="2"/>
      <c r="AA51" s="3"/>
      <c r="AB51" s="3"/>
    </row>
    <row r="52" spans="1:28" ht="15.7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2"/>
      <c r="P52" s="1"/>
      <c r="Q52" s="2"/>
      <c r="R52" s="1"/>
      <c r="S52" s="2"/>
      <c r="T52" s="2"/>
      <c r="U52" s="2"/>
      <c r="V52" s="2"/>
      <c r="W52" s="2"/>
      <c r="X52" s="2"/>
      <c r="Y52" s="2"/>
      <c r="Z52" s="2"/>
      <c r="AA52" s="3"/>
      <c r="AB52" s="3"/>
    </row>
    <row r="53" spans="1:28" ht="15.7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"/>
      <c r="O53" s="2"/>
      <c r="P53" s="1"/>
      <c r="Q53" s="2"/>
      <c r="R53" s="1"/>
      <c r="S53" s="2"/>
      <c r="T53" s="2"/>
      <c r="U53" s="2"/>
      <c r="V53" s="2"/>
      <c r="W53" s="2"/>
      <c r="X53" s="2"/>
      <c r="Y53" s="2"/>
      <c r="Z53" s="2"/>
      <c r="AA53" s="3"/>
      <c r="AB53" s="3"/>
    </row>
    <row r="54" spans="1:28" ht="15.7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  <c r="AB54" s="3"/>
    </row>
    <row r="55" spans="1:28" ht="15.7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  <c r="AB55" s="3"/>
    </row>
    <row r="56" spans="1:28" ht="15.75">
      <c r="N56" s="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  <c r="AB56" s="3"/>
    </row>
    <row r="57" spans="1:28" ht="15.75"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</row>
  </sheetData>
  <mergeCells count="64">
    <mergeCell ref="B13:M15"/>
    <mergeCell ref="A16:M16"/>
    <mergeCell ref="B17:C18"/>
    <mergeCell ref="D17:E18"/>
    <mergeCell ref="F17:G18"/>
    <mergeCell ref="H17:I18"/>
    <mergeCell ref="J17:K18"/>
    <mergeCell ref="L17:M18"/>
    <mergeCell ref="L19:L21"/>
    <mergeCell ref="B22:B24"/>
    <mergeCell ref="C22:C24"/>
    <mergeCell ref="D22:D24"/>
    <mergeCell ref="F22:F24"/>
    <mergeCell ref="H22:H24"/>
    <mergeCell ref="J22:J24"/>
    <mergeCell ref="L22:L24"/>
    <mergeCell ref="B19:B21"/>
    <mergeCell ref="C19:C21"/>
    <mergeCell ref="D19:D21"/>
    <mergeCell ref="F19:F21"/>
    <mergeCell ref="H19:H21"/>
    <mergeCell ref="J19:J21"/>
    <mergeCell ref="B25:B27"/>
    <mergeCell ref="C25:C27"/>
    <mergeCell ref="D25:D27"/>
    <mergeCell ref="F25:F27"/>
    <mergeCell ref="H25:H27"/>
    <mergeCell ref="L25:L27"/>
    <mergeCell ref="C28:C30"/>
    <mergeCell ref="D28:D30"/>
    <mergeCell ref="F28:F30"/>
    <mergeCell ref="H28:H30"/>
    <mergeCell ref="J28:J30"/>
    <mergeCell ref="L28:L30"/>
    <mergeCell ref="J25:J27"/>
    <mergeCell ref="L34:L36"/>
    <mergeCell ref="C31:C33"/>
    <mergeCell ref="D31:D33"/>
    <mergeCell ref="F31:F33"/>
    <mergeCell ref="H31:H33"/>
    <mergeCell ref="J31:J33"/>
    <mergeCell ref="L31:L33"/>
    <mergeCell ref="C34:C36"/>
    <mergeCell ref="D34:D36"/>
    <mergeCell ref="F34:F36"/>
    <mergeCell ref="H34:H36"/>
    <mergeCell ref="J34:J36"/>
    <mergeCell ref="L40:L42"/>
    <mergeCell ref="C37:C39"/>
    <mergeCell ref="D37:D39"/>
    <mergeCell ref="F37:F39"/>
    <mergeCell ref="H37:H39"/>
    <mergeCell ref="J37:J39"/>
    <mergeCell ref="L37:L39"/>
    <mergeCell ref="C40:C42"/>
    <mergeCell ref="D40:D42"/>
    <mergeCell ref="F40:F42"/>
    <mergeCell ref="H40:H42"/>
    <mergeCell ref="J40:J42"/>
    <mergeCell ref="D43:E43"/>
    <mergeCell ref="F43:G43"/>
    <mergeCell ref="H43:I43"/>
    <mergeCell ref="J43:K43"/>
    <mergeCell ref="L43:M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4A27-3DB2-41E1-A1EC-EA87CCC941BA}">
  <sheetPr>
    <tabColor rgb="FFFFFF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2026-07-03T15:05:00Z</dcterms:created>
  <dcterms:modified xsi:type="dcterms:W3CDTF">2026-07-03T16:42:32Z</dcterms:modified>
  <cp:category/>
  <cp:contentStatus/>
</cp:coreProperties>
</file>